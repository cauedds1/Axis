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Fabio Gnoatto\Downloads\"/>
    </mc:Choice>
  </mc:AlternateContent>
  <xr:revisionPtr revIDLastSave="0" documentId="13_ncr:1_{317CF8DD-FA68-45BF-A8CB-64A70D0F18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EMBOLSO" sheetId="21" r:id="rId1"/>
    <sheet name="Planilha2" sheetId="23" r:id="rId2"/>
    <sheet name="Planilha1" sheetId="22" r:id="rId3"/>
  </sheets>
  <definedNames>
    <definedName name="_xlnm.Print_Area" localSheetId="0">REEMBOLSO!$A$1:$CG$38</definedName>
  </definedNames>
  <calcPr calcId="191029"/>
</workbook>
</file>

<file path=xl/calcChain.xml><?xml version="1.0" encoding="utf-8"?>
<calcChain xmlns="http://schemas.openxmlformats.org/spreadsheetml/2006/main">
  <c r="B37" i="23" l="1"/>
  <c r="AR19" i="21"/>
  <c r="AI19" i="21"/>
  <c r="AC17" i="21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" i="23"/>
  <c r="BG23" i="21"/>
  <c r="BJ23" i="21"/>
  <c r="BM23" i="21"/>
  <c r="BP23" i="21"/>
  <c r="BS23" i="21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2" i="22"/>
  <c r="D32" i="22"/>
  <c r="C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B32" i="22"/>
  <c r="CB17" i="21"/>
  <c r="AR23" i="21"/>
  <c r="AL23" i="21"/>
  <c r="Q23" i="21"/>
  <c r="T23" i="21"/>
  <c r="W23" i="21"/>
  <c r="Z23" i="21"/>
  <c r="AC23" i="21"/>
  <c r="AF23" i="21"/>
  <c r="AI23" i="21"/>
  <c r="BY23" i="21"/>
  <c r="BV23" i="21"/>
  <c r="BD23" i="21"/>
  <c r="BA23" i="21"/>
  <c r="AX23" i="21"/>
  <c r="AU23" i="21"/>
  <c r="AO23" i="21"/>
  <c r="CB21" i="21"/>
  <c r="CB19" i="21"/>
  <c r="CB15" i="21"/>
  <c r="CB11" i="21"/>
  <c r="CB9" i="21"/>
  <c r="CB7" i="21"/>
  <c r="CB5" i="21"/>
  <c r="Y32" i="22" l="1"/>
  <c r="CB13" i="21"/>
  <c r="CB23" i="21" s="1"/>
</calcChain>
</file>

<file path=xl/sharedStrings.xml><?xml version="1.0" encoding="utf-8"?>
<sst xmlns="http://schemas.openxmlformats.org/spreadsheetml/2006/main" count="54" uniqueCount="35">
  <si>
    <t>Nome:</t>
  </si>
  <si>
    <t xml:space="preserve">DEMONSTRATIVO PARA REEMBOLSO DE DESPESAS (DRD)                                                                                     </t>
  </si>
  <si>
    <t>DESPESA</t>
  </si>
  <si>
    <t>TOTAL</t>
  </si>
  <si>
    <t>SOLICITANTE:</t>
  </si>
  <si>
    <t>Combustível</t>
  </si>
  <si>
    <t>Outras Despesas</t>
  </si>
  <si>
    <t>data</t>
  </si>
  <si>
    <t>Café da tarde</t>
  </si>
  <si>
    <t>Café da manhã</t>
  </si>
  <si>
    <t>Jantar (cliente/fornecedor)</t>
  </si>
  <si>
    <t>Almoço (cliente/fornecedor)</t>
  </si>
  <si>
    <t>Táxi/uber</t>
  </si>
  <si>
    <t>Estacionamento/pedágio</t>
  </si>
  <si>
    <t>APROVAÇÃO DIRETOR RESPONSÁVEL:</t>
  </si>
  <si>
    <t>PIX/DADOS BANCÁRIOS:</t>
  </si>
  <si>
    <t>APROVAÇÃO DIRETOR FINANCEIRO:</t>
  </si>
  <si>
    <t xml:space="preserve">Hospedagem </t>
  </si>
  <si>
    <t>Especificações Adicionais:</t>
  </si>
  <si>
    <t>Despesas com Uber e Transporte Similar: Informar obrigatoriamente o motivo da corrida.</t>
  </si>
  <si>
    <t>Jantares com Clientes: Especificar o nome da empresa atendida.</t>
  </si>
  <si>
    <t>Bebidas Alcoólicas: Serão reembolsáveis apenas em casos específicos e previamente autorizados.</t>
  </si>
  <si>
    <t>Danieli Schutz</t>
  </si>
  <si>
    <t>Observações:</t>
  </si>
  <si>
    <t>gasolina</t>
  </si>
  <si>
    <t>alimentação</t>
  </si>
  <si>
    <t>estacionamento</t>
  </si>
  <si>
    <t>pedágio</t>
  </si>
  <si>
    <t>outro</t>
  </si>
  <si>
    <t>hotel</t>
  </si>
  <si>
    <t>54996231404 - FABIO GNOATTO/ CONTA CONJUNTA</t>
  </si>
  <si>
    <t>outros</t>
  </si>
  <si>
    <t>total</t>
  </si>
  <si>
    <t>xxx</t>
  </si>
  <si>
    <t>Dia 15/10 jantamos com o Leonardo da Belgo. Eu, ele e a Cinara.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</si>
</sst>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#,##0.00;[Red]#,##0.00"/>
    <numFmt numFmtId="166" formatCode="#,##0.00_ ;[Red]\-#,##0.00\ "/>
  </numFmts>
  <fonts count="18" x14ac:knownFonts="1">
    <font>
      <sz val="10"/>
      <name val="Arial"/>
    </font>
    <font>
      <b/>
      <sz val="10"/>
      <name val="Book Antiqua"/>
      <family val="1"/>
    </font>
    <font>
      <b/>
      <sz val="8"/>
      <name val="Book Antiqua"/>
      <family val="1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color rgb="FF002060"/>
      <name val="Arial Black"/>
      <family val="2"/>
    </font>
    <font>
      <sz val="11"/>
      <name val="Arial"/>
      <family val="2"/>
    </font>
    <font>
      <b/>
      <sz val="14"/>
      <name val="Arial"/>
      <family val="2"/>
    </font>
    <font>
      <b/>
      <sz val="9"/>
      <name val="Book Antiqua"/>
      <family val="1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2">
    <xf numFmtId="0" fontId="0" fillId="0" borderId="0" xfId="0"/>
    <xf numFmtId="0" fontId="0" fillId="2" borderId="0" xfId="0" applyFill="1"/>
    <xf numFmtId="0" fontId="5" fillId="2" borderId="0" xfId="0" applyFont="1" applyFill="1"/>
    <xf numFmtId="165" fontId="0" fillId="2" borderId="0" xfId="0" applyNumberFormat="1" applyFill="1"/>
    <xf numFmtId="0" fontId="13" fillId="2" borderId="0" xfId="0" applyFont="1" applyFill="1"/>
    <xf numFmtId="0" fontId="6" fillId="2" borderId="0" xfId="0" applyFont="1" applyFill="1"/>
    <xf numFmtId="0" fontId="9" fillId="2" borderId="0" xfId="0" applyFont="1" applyFill="1"/>
    <xf numFmtId="164" fontId="6" fillId="2" borderId="0" xfId="1" applyFont="1" applyFill="1"/>
    <xf numFmtId="0" fontId="0" fillId="2" borderId="0" xfId="0" applyFill="1" applyAlignment="1">
      <alignment wrapText="1"/>
    </xf>
    <xf numFmtId="16" fontId="0" fillId="0" borderId="0" xfId="0" applyNumberFormat="1"/>
    <xf numFmtId="164" fontId="0" fillId="0" borderId="0" xfId="1" applyFont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64" fontId="0" fillId="0" borderId="0" xfId="0" applyNumberFormat="1"/>
    <xf numFmtId="164" fontId="4" fillId="4" borderId="0" xfId="0" applyNumberFormat="1" applyFont="1" applyFill="1"/>
    <xf numFmtId="164" fontId="0" fillId="4" borderId="0" xfId="0" applyNumberFormat="1" applyFill="1"/>
    <xf numFmtId="0" fontId="5" fillId="0" borderId="0" xfId="0" applyFont="1"/>
    <xf numFmtId="164" fontId="0" fillId="4" borderId="0" xfId="1" applyFont="1" applyFill="1"/>
    <xf numFmtId="164" fontId="0" fillId="4" borderId="0" xfId="1" applyFont="1" applyFill="1" applyAlignment="1">
      <alignment horizontal="center"/>
    </xf>
    <xf numFmtId="0" fontId="15" fillId="2" borderId="0" xfId="0" applyFont="1" applyFill="1" applyAlignment="1">
      <alignment horizontal="left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39" fontId="3" fillId="3" borderId="37" xfId="0" applyNumberFormat="1" applyFont="1" applyFill="1" applyBorder="1" applyAlignment="1">
      <alignment horizontal="center" vertical="center" wrapText="1"/>
    </xf>
    <xf numFmtId="39" fontId="3" fillId="3" borderId="38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65" fontId="3" fillId="2" borderId="23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165" fontId="3" fillId="3" borderId="31" xfId="0" applyNumberFormat="1" applyFont="1" applyFill="1" applyBorder="1" applyAlignment="1">
      <alignment horizontal="center" vertical="center" wrapText="1"/>
    </xf>
    <xf numFmtId="165" fontId="3" fillId="3" borderId="32" xfId="0" applyNumberFormat="1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165" fontId="4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66" fontId="3" fillId="2" borderId="42" xfId="0" applyNumberFormat="1" applyFont="1" applyFill="1" applyBorder="1" applyAlignment="1">
      <alignment horizontal="center" vertical="center" wrapText="1"/>
    </xf>
    <xf numFmtId="166" fontId="3" fillId="2" borderId="43" xfId="0" applyNumberFormat="1" applyFont="1" applyFill="1" applyBorder="1" applyAlignment="1">
      <alignment horizontal="center" vertical="center" wrapText="1"/>
    </xf>
    <xf numFmtId="166" fontId="3" fillId="2" borderId="44" xfId="0" applyNumberFormat="1" applyFont="1" applyFill="1" applyBorder="1" applyAlignment="1">
      <alignment horizontal="center" vertical="center" wrapText="1"/>
    </xf>
    <xf numFmtId="166" fontId="3" fillId="2" borderId="6" xfId="0" applyNumberFormat="1" applyFont="1" applyFill="1" applyBorder="1" applyAlignment="1">
      <alignment horizontal="center" vertical="center" wrapText="1"/>
    </xf>
    <xf numFmtId="166" fontId="3" fillId="2" borderId="4" xfId="0" applyNumberFormat="1" applyFont="1" applyFill="1" applyBorder="1" applyAlignment="1">
      <alignment horizontal="center" vertical="center" wrapText="1"/>
    </xf>
    <xf numFmtId="166" fontId="3" fillId="2" borderId="5" xfId="0" applyNumberFormat="1" applyFont="1" applyFill="1" applyBorder="1" applyAlignment="1">
      <alignment horizontal="center" vertical="center" wrapText="1"/>
    </xf>
    <xf numFmtId="166" fontId="3" fillId="2" borderId="23" xfId="0" applyNumberFormat="1" applyFont="1" applyFill="1" applyBorder="1" applyAlignment="1">
      <alignment horizontal="center" vertical="center" wrapText="1"/>
    </xf>
    <xf numFmtId="166" fontId="3" fillId="2" borderId="24" xfId="0" applyNumberFormat="1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left" wrapText="1"/>
    </xf>
    <xf numFmtId="0" fontId="7" fillId="3" borderId="26" xfId="0" applyFont="1" applyFill="1" applyBorder="1" applyAlignment="1">
      <alignment horizontal="left" wrapText="1"/>
    </xf>
    <xf numFmtId="0" fontId="7" fillId="3" borderId="27" xfId="0" applyFont="1" applyFill="1" applyBorder="1" applyAlignment="1">
      <alignment horizontal="left" wrapText="1"/>
    </xf>
    <xf numFmtId="165" fontId="3" fillId="2" borderId="42" xfId="0" applyNumberFormat="1" applyFont="1" applyFill="1" applyBorder="1" applyAlignment="1">
      <alignment horizontal="center" vertical="center" wrapText="1"/>
    </xf>
    <xf numFmtId="165" fontId="3" fillId="2" borderId="43" xfId="0" applyNumberFormat="1" applyFont="1" applyFill="1" applyBorder="1" applyAlignment="1">
      <alignment horizontal="center" vertical="center" wrapText="1"/>
    </xf>
    <xf numFmtId="165" fontId="3" fillId="2" borderId="44" xfId="0" applyNumberFormat="1" applyFont="1" applyFill="1" applyBorder="1" applyAlignment="1">
      <alignment horizontal="center" vertical="center" wrapText="1"/>
    </xf>
    <xf numFmtId="165" fontId="3" fillId="2" borderId="39" xfId="0" applyNumberFormat="1" applyFont="1" applyFill="1" applyBorder="1" applyAlignment="1">
      <alignment horizontal="center" vertical="center" wrapText="1"/>
    </xf>
    <xf numFmtId="165" fontId="3" fillId="2" borderId="40" xfId="0" applyNumberFormat="1" applyFont="1" applyFill="1" applyBorder="1" applyAlignment="1">
      <alignment horizontal="center" vertical="center" wrapText="1"/>
    </xf>
    <xf numFmtId="165" fontId="3" fillId="2" borderId="41" xfId="0" applyNumberFormat="1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wrapText="1"/>
    </xf>
    <xf numFmtId="0" fontId="7" fillId="3" borderId="20" xfId="0" applyFont="1" applyFill="1" applyBorder="1" applyAlignment="1">
      <alignment horizontal="left" wrapText="1"/>
    </xf>
    <xf numFmtId="0" fontId="7" fillId="3" borderId="21" xfId="0" applyFont="1" applyFill="1" applyBorder="1" applyAlignment="1">
      <alignment horizontal="left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6" fontId="11" fillId="3" borderId="22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16" fontId="11" fillId="3" borderId="9" xfId="0" applyNumberFormat="1" applyFont="1" applyFill="1" applyBorder="1" applyAlignment="1">
      <alignment horizontal="center" wrapText="1"/>
    </xf>
    <xf numFmtId="16" fontId="11" fillId="3" borderId="7" xfId="0" applyNumberFormat="1" applyFont="1" applyFill="1" applyBorder="1" applyAlignment="1">
      <alignment horizontal="center" wrapText="1"/>
    </xf>
    <xf numFmtId="16" fontId="11" fillId="3" borderId="8" xfId="0" applyNumberFormat="1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5" fontId="3" fillId="3" borderId="28" xfId="0" applyNumberFormat="1" applyFont="1" applyFill="1" applyBorder="1" applyAlignment="1">
      <alignment horizontal="center" vertical="center" wrapText="1"/>
    </xf>
    <xf numFmtId="165" fontId="3" fillId="3" borderId="29" xfId="0" applyNumberFormat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17" fillId="2" borderId="9" xfId="2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wrapText="1"/>
    </xf>
    <xf numFmtId="0" fontId="7" fillId="3" borderId="17" xfId="0" applyFont="1" applyFill="1" applyBorder="1" applyAlignment="1">
      <alignment horizontal="left" wrapText="1"/>
    </xf>
    <xf numFmtId="0" fontId="7" fillId="3" borderId="18" xfId="0" applyFont="1" applyFill="1" applyBorder="1" applyAlignment="1">
      <alignment horizontal="left" wrapText="1"/>
    </xf>
    <xf numFmtId="165" fontId="3" fillId="2" borderId="6" xfId="0" applyNumberFormat="1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165" fontId="3" fillId="2" borderId="5" xfId="0" applyNumberFormat="1" applyFont="1" applyFill="1" applyBorder="1" applyAlignment="1">
      <alignment horizontal="center" vertical="center" wrapText="1"/>
    </xf>
    <xf numFmtId="165" fontId="3" fillId="2" borderId="2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left" wrapText="1"/>
    </xf>
    <xf numFmtId="0" fontId="7" fillId="3" borderId="43" xfId="0" applyFont="1" applyFill="1" applyBorder="1" applyAlignment="1">
      <alignment horizontal="left" wrapText="1"/>
    </xf>
    <xf numFmtId="0" fontId="7" fillId="3" borderId="44" xfId="0" applyFont="1" applyFill="1" applyBorder="1" applyAlignment="1">
      <alignment horizontal="left" wrapText="1"/>
    </xf>
    <xf numFmtId="0" fontId="7" fillId="3" borderId="39" xfId="0" applyFont="1" applyFill="1" applyBorder="1" applyAlignment="1">
      <alignment horizontal="left" wrapText="1"/>
    </xf>
    <xf numFmtId="0" fontId="7" fillId="3" borderId="40" xfId="0" applyFont="1" applyFill="1" applyBorder="1" applyAlignment="1">
      <alignment horizontal="left" wrapText="1"/>
    </xf>
    <xf numFmtId="0" fontId="7" fillId="3" borderId="41" xfId="0" applyFont="1" applyFill="1" applyBorder="1" applyAlignment="1">
      <alignment horizontal="left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86183</xdr:colOff>
      <xdr:row>0</xdr:row>
      <xdr:rowOff>94342</xdr:rowOff>
    </xdr:from>
    <xdr:to>
      <xdr:col>14</xdr:col>
      <xdr:colOff>742</xdr:colOff>
      <xdr:row>0</xdr:row>
      <xdr:rowOff>722992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83" y="94342"/>
          <a:ext cx="1789079" cy="628650"/>
        </a:xfrm>
        <a:prstGeom prst="rect">
          <a:avLst/>
        </a:prstGeom>
      </xdr:spPr>
    </xdr:pic>
    <xdr:clientData/>
  </xdr:twoCellAnchor>
  <xdr:twoCellAnchor editAs="oneCell">
    <xdr:from>
      <xdr:col>72</xdr:col>
      <xdr:colOff>1905</xdr:colOff>
      <xdr:row>0</xdr:row>
      <xdr:rowOff>78105</xdr:rowOff>
    </xdr:from>
    <xdr:to>
      <xdr:col>84</xdr:col>
      <xdr:colOff>78752</xdr:colOff>
      <xdr:row>0</xdr:row>
      <xdr:rowOff>706755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730" y="78105"/>
          <a:ext cx="1715147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1"/>
  <sheetViews>
    <sheetView tabSelected="1" zoomScaleNormal="100" workbookViewId="0">
      <selection activeCell="DC28" sqref="DC28"/>
    </sheetView>
  </sheetViews>
  <sheetFormatPr defaultColWidth="9.140625" defaultRowHeight="12.75" x14ac:dyDescent="0.2"/>
  <cols>
    <col min="1" max="2" width="1.85546875" style="1" customWidth="1"/>
    <col min="3" max="3" width="2.5703125" style="1" customWidth="1"/>
    <col min="4" max="9" width="1.85546875" style="1" customWidth="1"/>
    <col min="10" max="10" width="2.140625" style="1" customWidth="1"/>
    <col min="11" max="15" width="1.85546875" style="1" customWidth="1"/>
    <col min="16" max="16" width="3.140625" style="1" customWidth="1"/>
    <col min="17" max="18" width="2" style="1" customWidth="1"/>
    <col min="19" max="19" width="2.42578125" style="1" customWidth="1"/>
    <col min="20" max="21" width="2" style="1" customWidth="1"/>
    <col min="22" max="22" width="2.42578125" style="1" customWidth="1"/>
    <col min="23" max="23" width="2" style="1" customWidth="1"/>
    <col min="24" max="24" width="4.28515625" style="1" customWidth="1"/>
    <col min="25" max="25" width="2" style="1" hidden="1" customWidth="1"/>
    <col min="26" max="26" width="2" style="1" customWidth="1"/>
    <col min="27" max="27" width="2.42578125" style="1" customWidth="1"/>
    <col min="28" max="28" width="2.28515625" style="1" customWidth="1"/>
    <col min="29" max="29" width="4.7109375" style="1" customWidth="1"/>
    <col min="30" max="30" width="2" style="1" customWidth="1"/>
    <col min="31" max="31" width="2.5703125" style="1" customWidth="1"/>
    <col min="32" max="32" width="1.85546875" style="1" customWidth="1"/>
    <col min="33" max="33" width="2.140625" style="1" customWidth="1"/>
    <col min="34" max="34" width="2.85546875" style="1" customWidth="1"/>
    <col min="35" max="36" width="2" style="1" customWidth="1"/>
    <col min="37" max="37" width="2.42578125" style="1" customWidth="1"/>
    <col min="38" max="39" width="2" style="1" customWidth="1"/>
    <col min="40" max="40" width="2.5703125" style="1" customWidth="1"/>
    <col min="41" max="42" width="2" style="1" customWidth="1"/>
    <col min="43" max="43" width="2.5703125" style="1" customWidth="1"/>
    <col min="44" max="45" width="2" style="1" customWidth="1"/>
    <col min="46" max="46" width="2.42578125" style="1" customWidth="1"/>
    <col min="47" max="48" width="2" style="1" customWidth="1"/>
    <col min="49" max="49" width="2.5703125" style="1" customWidth="1"/>
    <col min="50" max="51" width="2" style="1" customWidth="1"/>
    <col min="52" max="52" width="2.5703125" style="1" customWidth="1"/>
    <col min="53" max="54" width="2" style="1" customWidth="1"/>
    <col min="55" max="55" width="2.5703125" style="1" customWidth="1"/>
    <col min="56" max="57" width="2" style="1" customWidth="1"/>
    <col min="58" max="58" width="2.5703125" style="1" customWidth="1"/>
    <col min="59" max="60" width="2" style="1" customWidth="1"/>
    <col min="61" max="61" width="2.5703125" style="1" customWidth="1"/>
    <col min="62" max="64" width="2.140625" style="1" customWidth="1"/>
    <col min="65" max="66" width="2" style="1" customWidth="1"/>
    <col min="67" max="67" width="2.42578125" style="1" customWidth="1"/>
    <col min="68" max="69" width="2" style="1" customWidth="1"/>
    <col min="70" max="70" width="2.42578125" style="1" customWidth="1"/>
    <col min="71" max="72" width="2" style="1" customWidth="1"/>
    <col min="73" max="73" width="2.42578125" style="1" customWidth="1"/>
    <col min="74" max="79" width="2.140625" style="1" customWidth="1"/>
    <col min="80" max="125" width="1.85546875" style="1" customWidth="1"/>
    <col min="126" max="16384" width="9.140625" style="1"/>
  </cols>
  <sheetData>
    <row r="1" spans="1:85" ht="62.25" customHeight="1" thickBot="1" x14ac:dyDescent="0.25">
      <c r="A1" s="72" t="s">
        <v>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4"/>
    </row>
    <row r="2" spans="1:85" ht="20.100000000000001" customHeight="1" thickBot="1" x14ac:dyDescent="0.25">
      <c r="A2" s="75" t="s">
        <v>0</v>
      </c>
      <c r="B2" s="76"/>
      <c r="C2" s="76"/>
      <c r="D2" s="77"/>
      <c r="E2" s="89" t="s">
        <v>22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1"/>
    </row>
    <row r="3" spans="1:85" ht="12" customHeight="1" thickBot="1" x14ac:dyDescent="0.25">
      <c r="A3" s="79" t="s">
        <v>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79" t="s">
        <v>3</v>
      </c>
      <c r="CC3" s="80"/>
      <c r="CD3" s="80"/>
      <c r="CE3" s="80"/>
      <c r="CF3" s="80"/>
      <c r="CG3" s="81"/>
    </row>
    <row r="4" spans="1:85" s="2" customFormat="1" ht="18" customHeight="1" thickBot="1" x14ac:dyDescent="0.35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4"/>
      <c r="Q4" s="78">
        <v>45939</v>
      </c>
      <c r="R4" s="78"/>
      <c r="S4" s="78"/>
      <c r="T4" s="78">
        <v>45943</v>
      </c>
      <c r="U4" s="78"/>
      <c r="V4" s="78"/>
      <c r="W4" s="78">
        <v>45944</v>
      </c>
      <c r="X4" s="78"/>
      <c r="Y4" s="78"/>
      <c r="Z4" s="78">
        <v>45945</v>
      </c>
      <c r="AA4" s="78"/>
      <c r="AB4" s="78"/>
      <c r="AC4" s="78">
        <v>45951</v>
      </c>
      <c r="AD4" s="78"/>
      <c r="AE4" s="78"/>
      <c r="AF4" s="86">
        <v>45953</v>
      </c>
      <c r="AG4" s="87"/>
      <c r="AH4" s="88"/>
      <c r="AI4" s="86">
        <v>45954</v>
      </c>
      <c r="AJ4" s="87"/>
      <c r="AK4" s="88"/>
      <c r="AL4" s="86">
        <v>45955</v>
      </c>
      <c r="AM4" s="87"/>
      <c r="AN4" s="88"/>
      <c r="AO4" s="86">
        <v>45957</v>
      </c>
      <c r="AP4" s="87"/>
      <c r="AQ4" s="88"/>
      <c r="AR4" s="78">
        <v>45960</v>
      </c>
      <c r="AS4" s="78"/>
      <c r="AT4" s="78"/>
      <c r="AU4" s="78">
        <v>45961</v>
      </c>
      <c r="AV4" s="78"/>
      <c r="AW4" s="78"/>
      <c r="AX4" s="78" t="s">
        <v>33</v>
      </c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82"/>
      <c r="CC4" s="83"/>
      <c r="CD4" s="83"/>
      <c r="CE4" s="83"/>
      <c r="CF4" s="83"/>
      <c r="CG4" s="84"/>
    </row>
    <row r="5" spans="1:85" ht="8.1" customHeight="1" x14ac:dyDescent="0.2">
      <c r="A5" s="66" t="s">
        <v>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8"/>
      <c r="Q5" s="69">
        <v>43.5</v>
      </c>
      <c r="R5" s="70"/>
      <c r="S5" s="71"/>
      <c r="T5" s="69"/>
      <c r="U5" s="70"/>
      <c r="V5" s="71"/>
      <c r="W5" s="69"/>
      <c r="X5" s="70"/>
      <c r="Y5" s="71"/>
      <c r="Z5" s="69"/>
      <c r="AA5" s="70"/>
      <c r="AB5" s="71"/>
      <c r="AC5" s="69"/>
      <c r="AD5" s="70"/>
      <c r="AE5" s="71"/>
      <c r="AF5" s="69"/>
      <c r="AG5" s="70"/>
      <c r="AH5" s="71"/>
      <c r="AI5" s="69"/>
      <c r="AJ5" s="70"/>
      <c r="AK5" s="71"/>
      <c r="AL5" s="69"/>
      <c r="AM5" s="70"/>
      <c r="AN5" s="71"/>
      <c r="AO5" s="69"/>
      <c r="AP5" s="70"/>
      <c r="AQ5" s="71"/>
      <c r="AR5" s="69"/>
      <c r="AS5" s="70"/>
      <c r="AT5" s="71"/>
      <c r="AU5" s="69"/>
      <c r="AV5" s="70"/>
      <c r="AW5" s="71"/>
      <c r="AX5" s="69"/>
      <c r="AY5" s="70"/>
      <c r="AZ5" s="71"/>
      <c r="BA5" s="69"/>
      <c r="BB5" s="70"/>
      <c r="BC5" s="71"/>
      <c r="BD5" s="69"/>
      <c r="BE5" s="70"/>
      <c r="BF5" s="71"/>
      <c r="BG5" s="69"/>
      <c r="BH5" s="70"/>
      <c r="BI5" s="71"/>
      <c r="BJ5" s="69"/>
      <c r="BK5" s="70"/>
      <c r="BL5" s="71"/>
      <c r="BM5" s="69"/>
      <c r="BN5" s="70"/>
      <c r="BO5" s="71"/>
      <c r="BP5" s="69"/>
      <c r="BQ5" s="70"/>
      <c r="BR5" s="71"/>
      <c r="BS5" s="69"/>
      <c r="BT5" s="70"/>
      <c r="BU5" s="71"/>
      <c r="BV5" s="69"/>
      <c r="BW5" s="70"/>
      <c r="BX5" s="71"/>
      <c r="BY5" s="69"/>
      <c r="BZ5" s="70"/>
      <c r="CA5" s="71"/>
      <c r="CB5" s="92">
        <f>SUM(Q5:CA6)</f>
        <v>43.5</v>
      </c>
      <c r="CC5" s="93"/>
      <c r="CD5" s="93"/>
      <c r="CE5" s="94"/>
      <c r="CF5" s="94"/>
      <c r="CG5" s="95"/>
    </row>
    <row r="6" spans="1:85" ht="8.1" customHeight="1" x14ac:dyDescent="0.2">
      <c r="A6" s="57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9"/>
      <c r="Q6" s="63"/>
      <c r="R6" s="64"/>
      <c r="S6" s="65"/>
      <c r="T6" s="63"/>
      <c r="U6" s="64"/>
      <c r="V6" s="65"/>
      <c r="W6" s="63"/>
      <c r="X6" s="64"/>
      <c r="Y6" s="65"/>
      <c r="Z6" s="63"/>
      <c r="AA6" s="64"/>
      <c r="AB6" s="65"/>
      <c r="AC6" s="63"/>
      <c r="AD6" s="64"/>
      <c r="AE6" s="65"/>
      <c r="AF6" s="63"/>
      <c r="AG6" s="64"/>
      <c r="AH6" s="65"/>
      <c r="AI6" s="63"/>
      <c r="AJ6" s="64"/>
      <c r="AK6" s="65"/>
      <c r="AL6" s="63"/>
      <c r="AM6" s="64"/>
      <c r="AN6" s="65"/>
      <c r="AO6" s="63"/>
      <c r="AP6" s="64"/>
      <c r="AQ6" s="65"/>
      <c r="AR6" s="63"/>
      <c r="AS6" s="64"/>
      <c r="AT6" s="65"/>
      <c r="AU6" s="63"/>
      <c r="AV6" s="64"/>
      <c r="AW6" s="65"/>
      <c r="AX6" s="63"/>
      <c r="AY6" s="64"/>
      <c r="AZ6" s="65"/>
      <c r="BA6" s="63"/>
      <c r="BB6" s="64"/>
      <c r="BC6" s="65"/>
      <c r="BD6" s="63"/>
      <c r="BE6" s="64"/>
      <c r="BF6" s="65"/>
      <c r="BG6" s="63"/>
      <c r="BH6" s="64"/>
      <c r="BI6" s="65"/>
      <c r="BJ6" s="63"/>
      <c r="BK6" s="64"/>
      <c r="BL6" s="65"/>
      <c r="BM6" s="63"/>
      <c r="BN6" s="64"/>
      <c r="BO6" s="65"/>
      <c r="BP6" s="63"/>
      <c r="BQ6" s="64"/>
      <c r="BR6" s="65"/>
      <c r="BS6" s="63"/>
      <c r="BT6" s="64"/>
      <c r="BU6" s="65"/>
      <c r="BV6" s="63"/>
      <c r="BW6" s="64"/>
      <c r="BX6" s="65"/>
      <c r="BY6" s="63"/>
      <c r="BZ6" s="64"/>
      <c r="CA6" s="65"/>
      <c r="CB6" s="56"/>
      <c r="CC6" s="36"/>
      <c r="CD6" s="36"/>
      <c r="CE6" s="36"/>
      <c r="CF6" s="36"/>
      <c r="CG6" s="37"/>
    </row>
    <row r="7" spans="1:85" ht="8.1" customHeight="1" x14ac:dyDescent="0.2">
      <c r="A7" s="116" t="s">
        <v>8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8"/>
      <c r="Q7" s="60"/>
      <c r="R7" s="61"/>
      <c r="S7" s="62"/>
      <c r="T7" s="60"/>
      <c r="U7" s="61"/>
      <c r="V7" s="62"/>
      <c r="W7" s="60"/>
      <c r="X7" s="61"/>
      <c r="Y7" s="62"/>
      <c r="Z7" s="60"/>
      <c r="AA7" s="61"/>
      <c r="AB7" s="62"/>
      <c r="AC7" s="60"/>
      <c r="AD7" s="61"/>
      <c r="AE7" s="62"/>
      <c r="AF7" s="60"/>
      <c r="AG7" s="61"/>
      <c r="AH7" s="62"/>
      <c r="AI7" s="60"/>
      <c r="AJ7" s="61"/>
      <c r="AK7" s="62"/>
      <c r="AL7" s="60"/>
      <c r="AM7" s="61"/>
      <c r="AN7" s="62"/>
      <c r="AO7" s="60"/>
      <c r="AP7" s="61"/>
      <c r="AQ7" s="62"/>
      <c r="AR7" s="60"/>
      <c r="AS7" s="61"/>
      <c r="AT7" s="62"/>
      <c r="AU7" s="60"/>
      <c r="AV7" s="61"/>
      <c r="AW7" s="62"/>
      <c r="AX7" s="60"/>
      <c r="AY7" s="61"/>
      <c r="AZ7" s="62"/>
      <c r="BA7" s="60"/>
      <c r="BB7" s="61"/>
      <c r="BC7" s="62"/>
      <c r="BD7" s="60"/>
      <c r="BE7" s="61"/>
      <c r="BF7" s="62"/>
      <c r="BG7" s="60"/>
      <c r="BH7" s="61"/>
      <c r="BI7" s="62"/>
      <c r="BJ7" s="60"/>
      <c r="BK7" s="61"/>
      <c r="BL7" s="62"/>
      <c r="BM7" s="60"/>
      <c r="BN7" s="61"/>
      <c r="BO7" s="62"/>
      <c r="BP7" s="60"/>
      <c r="BQ7" s="61"/>
      <c r="BR7" s="62"/>
      <c r="BS7" s="60"/>
      <c r="BT7" s="61"/>
      <c r="BU7" s="62"/>
      <c r="BV7" s="60"/>
      <c r="BW7" s="61"/>
      <c r="BX7" s="62"/>
      <c r="BY7" s="60"/>
      <c r="BZ7" s="61"/>
      <c r="CA7" s="62"/>
      <c r="CB7" s="34">
        <f>SUM(Q7:CA8)</f>
        <v>0</v>
      </c>
      <c r="CC7" s="35"/>
      <c r="CD7" s="35"/>
      <c r="CE7" s="36"/>
      <c r="CF7" s="36"/>
      <c r="CG7" s="37"/>
    </row>
    <row r="8" spans="1:85" ht="8.1" customHeight="1" x14ac:dyDescent="0.2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1"/>
      <c r="Q8" s="63"/>
      <c r="R8" s="64"/>
      <c r="S8" s="65"/>
      <c r="T8" s="63"/>
      <c r="U8" s="64"/>
      <c r="V8" s="65"/>
      <c r="W8" s="63"/>
      <c r="X8" s="64"/>
      <c r="Y8" s="65"/>
      <c r="Z8" s="63"/>
      <c r="AA8" s="64"/>
      <c r="AB8" s="65"/>
      <c r="AC8" s="63"/>
      <c r="AD8" s="64"/>
      <c r="AE8" s="65"/>
      <c r="AF8" s="63"/>
      <c r="AG8" s="64"/>
      <c r="AH8" s="65"/>
      <c r="AI8" s="63"/>
      <c r="AJ8" s="64"/>
      <c r="AK8" s="65"/>
      <c r="AL8" s="63"/>
      <c r="AM8" s="64"/>
      <c r="AN8" s="65"/>
      <c r="AO8" s="63"/>
      <c r="AP8" s="64"/>
      <c r="AQ8" s="65"/>
      <c r="AR8" s="63"/>
      <c r="AS8" s="64"/>
      <c r="AT8" s="65"/>
      <c r="AU8" s="63"/>
      <c r="AV8" s="64"/>
      <c r="AW8" s="65"/>
      <c r="AX8" s="63"/>
      <c r="AY8" s="64"/>
      <c r="AZ8" s="65"/>
      <c r="BA8" s="63"/>
      <c r="BB8" s="64"/>
      <c r="BC8" s="65"/>
      <c r="BD8" s="63"/>
      <c r="BE8" s="64"/>
      <c r="BF8" s="65"/>
      <c r="BG8" s="63"/>
      <c r="BH8" s="64"/>
      <c r="BI8" s="65"/>
      <c r="BJ8" s="63"/>
      <c r="BK8" s="64"/>
      <c r="BL8" s="65"/>
      <c r="BM8" s="63"/>
      <c r="BN8" s="64"/>
      <c r="BO8" s="65"/>
      <c r="BP8" s="63"/>
      <c r="BQ8" s="64"/>
      <c r="BR8" s="65"/>
      <c r="BS8" s="63"/>
      <c r="BT8" s="64"/>
      <c r="BU8" s="65"/>
      <c r="BV8" s="63"/>
      <c r="BW8" s="64"/>
      <c r="BX8" s="65"/>
      <c r="BY8" s="63"/>
      <c r="BZ8" s="64"/>
      <c r="CA8" s="65"/>
      <c r="CB8" s="56"/>
      <c r="CC8" s="36"/>
      <c r="CD8" s="36"/>
      <c r="CE8" s="36"/>
      <c r="CF8" s="36"/>
      <c r="CG8" s="37"/>
    </row>
    <row r="9" spans="1:85" ht="8.1" customHeight="1" x14ac:dyDescent="0.2">
      <c r="A9" s="66" t="s">
        <v>11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0"/>
      <c r="R9" s="61"/>
      <c r="S9" s="62"/>
      <c r="T9" s="60"/>
      <c r="U9" s="61"/>
      <c r="V9" s="62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>
        <v>9</v>
      </c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4">
        <f>SUM(Q9:CA10)</f>
        <v>9</v>
      </c>
      <c r="CC9" s="35"/>
      <c r="CD9" s="35"/>
      <c r="CE9" s="36"/>
      <c r="CF9" s="36"/>
      <c r="CG9" s="37"/>
    </row>
    <row r="10" spans="1:85" ht="8.1" customHeight="1" x14ac:dyDescent="0.2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9"/>
      <c r="Q10" s="63"/>
      <c r="R10" s="64"/>
      <c r="S10" s="65"/>
      <c r="T10" s="63"/>
      <c r="U10" s="64"/>
      <c r="V10" s="65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56"/>
      <c r="CC10" s="36"/>
      <c r="CD10" s="36"/>
      <c r="CE10" s="36"/>
      <c r="CF10" s="36"/>
      <c r="CG10" s="37"/>
    </row>
    <row r="11" spans="1:85" ht="8.1" customHeight="1" x14ac:dyDescent="0.2">
      <c r="A11" s="57" t="s">
        <v>10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9"/>
      <c r="Q11" s="60"/>
      <c r="R11" s="61"/>
      <c r="S11" s="62"/>
      <c r="T11" s="60"/>
      <c r="U11" s="61"/>
      <c r="V11" s="62"/>
      <c r="W11" s="31"/>
      <c r="X11" s="31"/>
      <c r="Y11" s="31"/>
      <c r="Z11" s="31">
        <v>375.16</v>
      </c>
      <c r="AA11" s="31"/>
      <c r="AB11" s="31"/>
      <c r="AC11" s="31"/>
      <c r="AD11" s="31"/>
      <c r="AE11" s="31"/>
      <c r="AF11" s="31">
        <v>85.8</v>
      </c>
      <c r="AG11" s="31"/>
      <c r="AH11" s="31"/>
      <c r="AI11" s="31"/>
      <c r="AJ11" s="31"/>
      <c r="AK11" s="31"/>
      <c r="AL11" s="31"/>
      <c r="AM11" s="31"/>
      <c r="AN11" s="31"/>
      <c r="AO11" s="31">
        <v>35</v>
      </c>
      <c r="AP11" s="31"/>
      <c r="AQ11" s="31"/>
      <c r="AR11" s="31">
        <v>54</v>
      </c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4">
        <f>SUM(Q11:CA12)</f>
        <v>549.96</v>
      </c>
      <c r="CC11" s="35"/>
      <c r="CD11" s="35"/>
      <c r="CE11" s="36"/>
      <c r="CF11" s="36"/>
      <c r="CG11" s="37"/>
    </row>
    <row r="12" spans="1:85" ht="8.1" customHeight="1" x14ac:dyDescent="0.2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9"/>
      <c r="Q12" s="63"/>
      <c r="R12" s="64"/>
      <c r="S12" s="65"/>
      <c r="T12" s="63"/>
      <c r="U12" s="64"/>
      <c r="V12" s="65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2"/>
      <c r="AM12" s="32"/>
      <c r="AN12" s="32"/>
      <c r="AO12" s="32"/>
      <c r="AP12" s="32"/>
      <c r="AQ12" s="32"/>
      <c r="AR12" s="31"/>
      <c r="AS12" s="31"/>
      <c r="AT12" s="31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56"/>
      <c r="CC12" s="36"/>
      <c r="CD12" s="36"/>
      <c r="CE12" s="36"/>
      <c r="CF12" s="36"/>
      <c r="CG12" s="37"/>
    </row>
    <row r="13" spans="1:85" ht="8.1" customHeight="1" x14ac:dyDescent="0.2">
      <c r="A13" s="57" t="s">
        <v>12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9"/>
      <c r="Q13" s="60"/>
      <c r="R13" s="61"/>
      <c r="S13" s="62"/>
      <c r="T13" s="60"/>
      <c r="U13" s="61"/>
      <c r="V13" s="62"/>
      <c r="W13" s="31"/>
      <c r="X13" s="31"/>
      <c r="Y13" s="31"/>
      <c r="Z13" s="31"/>
      <c r="AA13" s="31"/>
      <c r="AB13" s="31"/>
      <c r="AC13" s="31"/>
      <c r="AD13" s="31"/>
      <c r="AE13" s="31"/>
      <c r="AF13" s="60"/>
      <c r="AG13" s="61"/>
      <c r="AH13" s="62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4">
        <f>SUM(Q13:CA14)</f>
        <v>0</v>
      </c>
      <c r="CC13" s="35"/>
      <c r="CD13" s="35"/>
      <c r="CE13" s="36"/>
      <c r="CF13" s="36"/>
      <c r="CG13" s="37"/>
    </row>
    <row r="14" spans="1:85" ht="8.1" customHeight="1" x14ac:dyDescent="0.2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9"/>
      <c r="Q14" s="63"/>
      <c r="R14" s="64"/>
      <c r="S14" s="65"/>
      <c r="T14" s="63"/>
      <c r="U14" s="64"/>
      <c r="V14" s="65"/>
      <c r="W14" s="31"/>
      <c r="X14" s="31"/>
      <c r="Y14" s="31"/>
      <c r="Z14" s="31"/>
      <c r="AA14" s="31"/>
      <c r="AB14" s="31"/>
      <c r="AC14" s="31"/>
      <c r="AD14" s="31"/>
      <c r="AE14" s="31"/>
      <c r="AF14" s="63"/>
      <c r="AG14" s="64"/>
      <c r="AH14" s="65"/>
      <c r="AI14" s="31"/>
      <c r="AJ14" s="31"/>
      <c r="AK14" s="31"/>
      <c r="AL14" s="32"/>
      <c r="AM14" s="32"/>
      <c r="AN14" s="32"/>
      <c r="AO14" s="32"/>
      <c r="AP14" s="32"/>
      <c r="AQ14" s="32"/>
      <c r="AR14" s="31"/>
      <c r="AS14" s="31"/>
      <c r="AT14" s="31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56"/>
      <c r="CC14" s="36"/>
      <c r="CD14" s="36"/>
      <c r="CE14" s="36"/>
      <c r="CF14" s="36"/>
      <c r="CG14" s="37"/>
    </row>
    <row r="15" spans="1:85" ht="8.1" customHeight="1" x14ac:dyDescent="0.2">
      <c r="A15" s="57" t="s">
        <v>17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9"/>
      <c r="Q15" s="60"/>
      <c r="R15" s="61"/>
      <c r="S15" s="62"/>
      <c r="T15" s="60">
        <v>315</v>
      </c>
      <c r="U15" s="61"/>
      <c r="V15" s="62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>
        <v>350</v>
      </c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>
        <v>359.8</v>
      </c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4">
        <f>SUM(Q15:CA16)</f>
        <v>1024.8</v>
      </c>
      <c r="CC15" s="35"/>
      <c r="CD15" s="35"/>
      <c r="CE15" s="36"/>
      <c r="CF15" s="36"/>
      <c r="CG15" s="37"/>
    </row>
    <row r="16" spans="1:85" ht="8.1" customHeight="1" x14ac:dyDescent="0.2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9"/>
      <c r="Q16" s="63"/>
      <c r="R16" s="64"/>
      <c r="S16" s="65"/>
      <c r="T16" s="63"/>
      <c r="U16" s="64"/>
      <c r="V16" s="65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56"/>
      <c r="CC16" s="36"/>
      <c r="CD16" s="36"/>
      <c r="CE16" s="36"/>
      <c r="CF16" s="36"/>
      <c r="CG16" s="37"/>
    </row>
    <row r="17" spans="1:85" ht="8.1" customHeight="1" x14ac:dyDescent="0.2">
      <c r="A17" s="66" t="s">
        <v>13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  <c r="Q17" s="60"/>
      <c r="R17" s="61"/>
      <c r="S17" s="62"/>
      <c r="T17" s="60"/>
      <c r="U17" s="61"/>
      <c r="V17" s="62"/>
      <c r="W17" s="31">
        <v>32</v>
      </c>
      <c r="X17" s="31"/>
      <c r="Y17" s="31"/>
      <c r="Z17" s="31">
        <v>20</v>
      </c>
      <c r="AA17" s="31"/>
      <c r="AB17" s="31"/>
      <c r="AC17" s="60">
        <f>20+32</f>
        <v>52</v>
      </c>
      <c r="AD17" s="61"/>
      <c r="AE17" s="62"/>
      <c r="AF17" s="60">
        <v>36</v>
      </c>
      <c r="AG17" s="61"/>
      <c r="AH17" s="62"/>
      <c r="AI17" s="31"/>
      <c r="AJ17" s="31"/>
      <c r="AK17" s="31"/>
      <c r="AL17" s="31"/>
      <c r="AM17" s="31"/>
      <c r="AN17" s="31"/>
      <c r="AO17" s="31"/>
      <c r="AP17" s="31"/>
      <c r="AQ17" s="31"/>
      <c r="AR17" s="31">
        <v>9.64</v>
      </c>
      <c r="AS17" s="31"/>
      <c r="AT17" s="31"/>
      <c r="AU17" s="31"/>
      <c r="AV17" s="31"/>
      <c r="AW17" s="31"/>
      <c r="AX17" s="31">
        <v>82.06</v>
      </c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4">
        <f>SUM(Q17:CA18)</f>
        <v>231.7</v>
      </c>
      <c r="CC17" s="35"/>
      <c r="CD17" s="35"/>
      <c r="CE17" s="36"/>
      <c r="CF17" s="36"/>
      <c r="CG17" s="37"/>
    </row>
    <row r="18" spans="1:85" ht="8.1" customHeight="1" x14ac:dyDescent="0.2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  <c r="Q18" s="63"/>
      <c r="R18" s="64"/>
      <c r="S18" s="65"/>
      <c r="T18" s="63"/>
      <c r="U18" s="64"/>
      <c r="V18" s="65"/>
      <c r="W18" s="31"/>
      <c r="X18" s="31"/>
      <c r="Y18" s="31"/>
      <c r="Z18" s="31"/>
      <c r="AA18" s="31"/>
      <c r="AB18" s="31"/>
      <c r="AC18" s="63"/>
      <c r="AD18" s="64"/>
      <c r="AE18" s="65"/>
      <c r="AF18" s="63"/>
      <c r="AG18" s="64"/>
      <c r="AH18" s="65"/>
      <c r="AI18" s="31"/>
      <c r="AJ18" s="31"/>
      <c r="AK18" s="31"/>
      <c r="AL18" s="31"/>
      <c r="AM18" s="31"/>
      <c r="AN18" s="31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56"/>
      <c r="CC18" s="36"/>
      <c r="CD18" s="36"/>
      <c r="CE18" s="36"/>
      <c r="CF18" s="36"/>
      <c r="CG18" s="37"/>
    </row>
    <row r="19" spans="1:85" ht="7.5" customHeight="1" x14ac:dyDescent="0.2">
      <c r="A19" s="57" t="s">
        <v>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9"/>
      <c r="Q19" s="60"/>
      <c r="R19" s="61"/>
      <c r="S19" s="62"/>
      <c r="T19" s="60">
        <v>248.83</v>
      </c>
      <c r="U19" s="61"/>
      <c r="V19" s="62"/>
      <c r="W19" s="31"/>
      <c r="X19" s="31"/>
      <c r="Y19" s="31"/>
      <c r="Z19" s="31">
        <v>229.84</v>
      </c>
      <c r="AA19" s="31"/>
      <c r="AB19" s="31"/>
      <c r="AC19" s="31">
        <v>160.33000000000001</v>
      </c>
      <c r="AD19" s="31"/>
      <c r="AE19" s="31"/>
      <c r="AF19" s="31"/>
      <c r="AG19" s="31"/>
      <c r="AH19" s="31"/>
      <c r="AI19" s="31">
        <f>100+257.11</f>
        <v>357.11</v>
      </c>
      <c r="AJ19" s="31"/>
      <c r="AK19" s="31"/>
      <c r="AL19" s="31"/>
      <c r="AM19" s="31"/>
      <c r="AN19" s="31"/>
      <c r="AO19" s="31">
        <v>168.24</v>
      </c>
      <c r="AP19" s="31"/>
      <c r="AQ19" s="31"/>
      <c r="AR19" s="31">
        <f>273.39</f>
        <v>273.39</v>
      </c>
      <c r="AS19" s="31"/>
      <c r="AT19" s="31"/>
      <c r="AU19" s="31">
        <v>143.02000000000001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4">
        <f>SUM(Q19:CA20)</f>
        <v>1580.7599999999998</v>
      </c>
      <c r="CC19" s="35"/>
      <c r="CD19" s="35"/>
      <c r="CE19" s="36"/>
      <c r="CF19" s="36"/>
      <c r="CG19" s="37"/>
    </row>
    <row r="20" spans="1:85" ht="7.5" customHeight="1" x14ac:dyDescent="0.2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  <c r="Q20" s="63"/>
      <c r="R20" s="64"/>
      <c r="S20" s="65"/>
      <c r="T20" s="63"/>
      <c r="U20" s="64"/>
      <c r="V20" s="65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56"/>
      <c r="CC20" s="36"/>
      <c r="CD20" s="36"/>
      <c r="CE20" s="36"/>
      <c r="CF20" s="36"/>
      <c r="CG20" s="37"/>
    </row>
    <row r="21" spans="1:85" ht="7.5" customHeight="1" x14ac:dyDescent="0.2">
      <c r="A21" s="66" t="s">
        <v>6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8"/>
      <c r="Q21" s="60"/>
      <c r="R21" s="61"/>
      <c r="S21" s="62"/>
      <c r="T21" s="31"/>
      <c r="U21" s="31"/>
      <c r="V21" s="31"/>
      <c r="W21" s="31"/>
      <c r="X21" s="31"/>
      <c r="Y21" s="31"/>
      <c r="Z21" s="31"/>
      <c r="AA21" s="31"/>
      <c r="AB21" s="31"/>
      <c r="AC21" s="60"/>
      <c r="AD21" s="61"/>
      <c r="AE21" s="62"/>
      <c r="AF21" s="48"/>
      <c r="AG21" s="49"/>
      <c r="AH21" s="50"/>
      <c r="AI21" s="54"/>
      <c r="AJ21" s="54"/>
      <c r="AK21" s="54"/>
      <c r="AL21" s="31">
        <v>70</v>
      </c>
      <c r="AM21" s="31"/>
      <c r="AN21" s="31"/>
      <c r="AO21" s="31"/>
      <c r="AP21" s="31"/>
      <c r="AQ21" s="31"/>
      <c r="AR21" s="31"/>
      <c r="AS21" s="31"/>
      <c r="AT21" s="31"/>
      <c r="AU21" s="31">
        <v>6</v>
      </c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4">
        <f>SUM(Q21:CA22)</f>
        <v>76</v>
      </c>
      <c r="CC21" s="35"/>
      <c r="CD21" s="35"/>
      <c r="CE21" s="36"/>
      <c r="CF21" s="36"/>
      <c r="CG21" s="37"/>
    </row>
    <row r="22" spans="1:85" ht="8.1" customHeight="1" thickBot="1" x14ac:dyDescent="0.25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100"/>
      <c r="Q22" s="101"/>
      <c r="R22" s="102"/>
      <c r="S22" s="103"/>
      <c r="T22" s="104"/>
      <c r="U22" s="104"/>
      <c r="V22" s="104"/>
      <c r="W22" s="33"/>
      <c r="X22" s="33"/>
      <c r="Y22" s="33"/>
      <c r="Z22" s="104"/>
      <c r="AA22" s="104"/>
      <c r="AB22" s="104"/>
      <c r="AC22" s="101"/>
      <c r="AD22" s="102"/>
      <c r="AE22" s="103"/>
      <c r="AF22" s="51"/>
      <c r="AG22" s="52"/>
      <c r="AH22" s="53"/>
      <c r="AI22" s="55"/>
      <c r="AJ22" s="55"/>
      <c r="AK22" s="5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8"/>
      <c r="CC22" s="39"/>
      <c r="CD22" s="39"/>
      <c r="CE22" s="39"/>
      <c r="CF22" s="39"/>
      <c r="CG22" s="40"/>
    </row>
    <row r="23" spans="1:85" ht="8.1" customHeight="1" x14ac:dyDescent="0.2">
      <c r="A23" s="25" t="s">
        <v>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3">
        <f t="shared" ref="Q23" si="0">SUM(Q5:S22)</f>
        <v>43.5</v>
      </c>
      <c r="R23" s="23"/>
      <c r="S23" s="23"/>
      <c r="T23" s="23">
        <f t="shared" ref="T23" si="1">SUM(T5:V22)</f>
        <v>563.83000000000004</v>
      </c>
      <c r="U23" s="23"/>
      <c r="V23" s="23"/>
      <c r="W23" s="23">
        <f t="shared" ref="W23" si="2">SUM(W5:Y22)</f>
        <v>32</v>
      </c>
      <c r="X23" s="23"/>
      <c r="Y23" s="23"/>
      <c r="Z23" s="23">
        <f t="shared" ref="Z23" si="3">SUM(Z5:AB22)</f>
        <v>625</v>
      </c>
      <c r="AA23" s="23"/>
      <c r="AB23" s="23"/>
      <c r="AC23" s="23">
        <f t="shared" ref="AC23" si="4">SUM(AC5:AE22)</f>
        <v>212.33</v>
      </c>
      <c r="AD23" s="23"/>
      <c r="AE23" s="23"/>
      <c r="AF23" s="23">
        <f t="shared" ref="AF23" si="5">SUM(AF5:AH22)</f>
        <v>121.8</v>
      </c>
      <c r="AG23" s="23"/>
      <c r="AH23" s="23"/>
      <c r="AI23" s="23">
        <f t="shared" ref="AI23" si="6">SUM(AI5:AK22)</f>
        <v>716.11</v>
      </c>
      <c r="AJ23" s="23"/>
      <c r="AK23" s="23"/>
      <c r="AL23" s="23">
        <f>SUM(AL5:AN22)</f>
        <v>70</v>
      </c>
      <c r="AM23" s="23"/>
      <c r="AN23" s="23"/>
      <c r="AO23" s="23">
        <f>SUM(AO5:AQ22)</f>
        <v>203.24</v>
      </c>
      <c r="AP23" s="23"/>
      <c r="AQ23" s="23"/>
      <c r="AR23" s="23">
        <f>SUM(AR5:AT22)</f>
        <v>337.03</v>
      </c>
      <c r="AS23" s="23"/>
      <c r="AT23" s="23"/>
      <c r="AU23" s="23">
        <f>SUM(AU5:AW22)</f>
        <v>508.82000000000005</v>
      </c>
      <c r="AV23" s="23"/>
      <c r="AW23" s="23"/>
      <c r="AX23" s="23">
        <f>SUM(AX5:AZ22)</f>
        <v>82.06</v>
      </c>
      <c r="AY23" s="23"/>
      <c r="AZ23" s="23"/>
      <c r="BA23" s="23">
        <f>SUM(BA5:BC22)</f>
        <v>0</v>
      </c>
      <c r="BB23" s="23"/>
      <c r="BC23" s="23"/>
      <c r="BD23" s="23">
        <f>SUM(BD5:BF22)</f>
        <v>0</v>
      </c>
      <c r="BE23" s="23"/>
      <c r="BF23" s="23"/>
      <c r="BG23" s="23">
        <f>SUM(BG5:BI22)</f>
        <v>0</v>
      </c>
      <c r="BH23" s="23"/>
      <c r="BI23" s="23"/>
      <c r="BJ23" s="23">
        <f>SUM(BJ5:BL22)</f>
        <v>0</v>
      </c>
      <c r="BK23" s="23"/>
      <c r="BL23" s="23"/>
      <c r="BM23" s="23">
        <f>SUM(BM5:BO22)</f>
        <v>0</v>
      </c>
      <c r="BN23" s="23"/>
      <c r="BO23" s="23"/>
      <c r="BP23" s="23">
        <f>SUM(BP5:BR22)</f>
        <v>0</v>
      </c>
      <c r="BQ23" s="23"/>
      <c r="BR23" s="23"/>
      <c r="BS23" s="23">
        <f>SUM(BS5:BU22)</f>
        <v>0</v>
      </c>
      <c r="BT23" s="23"/>
      <c r="BU23" s="23"/>
      <c r="BV23" s="23">
        <f>SUM(BV5:BX22)</f>
        <v>0</v>
      </c>
      <c r="BW23" s="23"/>
      <c r="BX23" s="23"/>
      <c r="BY23" s="23">
        <f>SUM(BY5:CA22)</f>
        <v>0</v>
      </c>
      <c r="BZ23" s="23"/>
      <c r="CA23" s="23"/>
      <c r="CB23" s="41">
        <f>SUM(CB5:CG22)</f>
        <v>3515.72</v>
      </c>
      <c r="CC23" s="42"/>
      <c r="CD23" s="42"/>
      <c r="CE23" s="43"/>
      <c r="CF23" s="43"/>
      <c r="CG23" s="44"/>
    </row>
    <row r="24" spans="1:85" ht="13.5" thickBot="1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45"/>
      <c r="CC24" s="46"/>
      <c r="CD24" s="46"/>
      <c r="CE24" s="46"/>
      <c r="CF24" s="46"/>
      <c r="CG24" s="47"/>
    </row>
    <row r="25" spans="1:85" ht="18" customHeight="1" thickBo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1"/>
      <c r="CD25" s="21"/>
      <c r="CE25" s="22"/>
      <c r="CF25" s="22"/>
      <c r="CG25" s="22"/>
    </row>
    <row r="26" spans="1:85" ht="36" customHeight="1" thickBot="1" x14ac:dyDescent="0.25">
      <c r="A26" s="108" t="s">
        <v>4</v>
      </c>
      <c r="B26" s="109"/>
      <c r="C26" s="109"/>
      <c r="D26" s="109"/>
      <c r="E26" s="109"/>
      <c r="F26" s="109"/>
      <c r="G26" s="109"/>
      <c r="H26" s="109"/>
      <c r="I26" s="110"/>
      <c r="J26" s="89"/>
      <c r="K26" s="90"/>
      <c r="L26" s="90"/>
      <c r="M26" s="90"/>
      <c r="N26" s="90"/>
      <c r="O26" s="90"/>
      <c r="P26" s="90"/>
      <c r="Q26" s="90"/>
      <c r="R26" s="90"/>
      <c r="S26" s="90"/>
      <c r="T26" s="113" t="s">
        <v>15</v>
      </c>
      <c r="U26" s="114"/>
      <c r="V26" s="114"/>
      <c r="W26" s="114"/>
      <c r="X26" s="114"/>
      <c r="Y26" s="114"/>
      <c r="Z26" s="114"/>
      <c r="AA26" s="114"/>
      <c r="AB26" s="114"/>
      <c r="AC26" s="115"/>
      <c r="AD26" s="96" t="s">
        <v>30</v>
      </c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108" t="s">
        <v>14</v>
      </c>
      <c r="AR26" s="109"/>
      <c r="AS26" s="109"/>
      <c r="AT26" s="109"/>
      <c r="AU26" s="109"/>
      <c r="AV26" s="109"/>
      <c r="AW26" s="109"/>
      <c r="AX26" s="109"/>
      <c r="AY26" s="109"/>
      <c r="AZ26" s="109"/>
      <c r="BA26" s="110"/>
      <c r="BB26" s="111"/>
      <c r="BC26" s="97"/>
      <c r="BD26" s="97"/>
      <c r="BE26" s="97"/>
      <c r="BF26" s="97"/>
      <c r="BG26" s="97"/>
      <c r="BH26" s="97"/>
      <c r="BI26" s="97"/>
      <c r="BJ26" s="97"/>
      <c r="BK26" s="112"/>
      <c r="BL26" s="108" t="s">
        <v>16</v>
      </c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10"/>
      <c r="BX26" s="89"/>
      <c r="BY26" s="90"/>
      <c r="BZ26" s="90"/>
      <c r="CA26" s="90"/>
      <c r="CB26" s="90"/>
      <c r="CC26" s="90"/>
      <c r="CD26" s="90"/>
      <c r="CE26" s="90"/>
      <c r="CF26" s="90"/>
      <c r="CG26" s="91"/>
    </row>
    <row r="28" spans="1:85" x14ac:dyDescent="0.2">
      <c r="Q28" s="3"/>
    </row>
    <row r="29" spans="1:85" ht="15" x14ac:dyDescent="0.25">
      <c r="A29" s="5" t="s">
        <v>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  <c r="AE29" s="6"/>
      <c r="AF29" s="6"/>
      <c r="AG29" s="6"/>
    </row>
    <row r="30" spans="1:85" ht="1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  <c r="AE30" s="6"/>
      <c r="AF30" s="6"/>
      <c r="AG30" s="6"/>
    </row>
    <row r="31" spans="1:85" ht="15" x14ac:dyDescent="0.25">
      <c r="A31" s="5" t="s">
        <v>19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  <c r="AA31" s="6"/>
      <c r="AB31" s="6"/>
      <c r="AC31" s="6"/>
      <c r="AD31" s="6"/>
      <c r="AE31" s="6"/>
      <c r="AF31" s="6"/>
      <c r="AG31" s="6"/>
    </row>
    <row r="32" spans="1:85" s="8" customFormat="1" ht="37.9" customHeight="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</row>
    <row r="33" spans="1:34" ht="15" x14ac:dyDescent="0.25">
      <c r="A33" s="5" t="s">
        <v>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  <c r="AA33" s="6"/>
      <c r="AB33" s="6"/>
      <c r="AC33" s="6"/>
      <c r="AD33" s="6"/>
      <c r="AE33" s="6"/>
      <c r="AF33" s="6"/>
      <c r="AG33" s="6"/>
    </row>
    <row r="34" spans="1:34" ht="1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  <c r="Z34" s="6"/>
      <c r="AA34" s="6"/>
      <c r="AB34" s="6"/>
      <c r="AC34" s="6"/>
      <c r="AD34" s="6"/>
      <c r="AE34" s="6"/>
      <c r="AF34" s="6"/>
      <c r="AG34" s="6"/>
    </row>
    <row r="35" spans="1:34" ht="15" x14ac:dyDescent="0.25">
      <c r="A35" s="5" t="s">
        <v>21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6"/>
      <c r="Z35" s="6"/>
      <c r="AA35" s="6"/>
      <c r="AB35" s="6"/>
      <c r="AC35" s="6"/>
      <c r="AD35" s="6"/>
      <c r="AE35" s="6"/>
      <c r="AF35" s="6"/>
      <c r="AG35" s="6"/>
    </row>
    <row r="36" spans="1:3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34" x14ac:dyDescent="0.2">
      <c r="A37" s="105" t="s">
        <v>23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</row>
    <row r="38" spans="1:34" x14ac:dyDescent="0.2">
      <c r="A38" s="107" t="s">
        <v>34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</row>
    <row r="39" spans="1:34" x14ac:dyDescent="0.2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</row>
    <row r="40" spans="1:34" x14ac:dyDescent="0.2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</row>
    <row r="41" spans="1:34" x14ac:dyDescent="0.2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</sheetData>
  <mergeCells count="271">
    <mergeCell ref="A37:Q37"/>
    <mergeCell ref="A38:AH41"/>
    <mergeCell ref="AU4:AW4"/>
    <mergeCell ref="BL26:BW26"/>
    <mergeCell ref="AQ26:BA26"/>
    <mergeCell ref="BB26:BK26"/>
    <mergeCell ref="A26:I26"/>
    <mergeCell ref="T26:AC26"/>
    <mergeCell ref="J26:S26"/>
    <mergeCell ref="BP11:BR12"/>
    <mergeCell ref="BS11:BU12"/>
    <mergeCell ref="BV11:BX12"/>
    <mergeCell ref="W5:Y6"/>
    <mergeCell ref="Z5:AB6"/>
    <mergeCell ref="AC5:AE6"/>
    <mergeCell ref="Q4:S4"/>
    <mergeCell ref="T4:V4"/>
    <mergeCell ref="W4:Y4"/>
    <mergeCell ref="Z4:AB4"/>
    <mergeCell ref="AC4:AE4"/>
    <mergeCell ref="BG5:BI6"/>
    <mergeCell ref="A7:P8"/>
    <mergeCell ref="Q7:S8"/>
    <mergeCell ref="T7:V8"/>
    <mergeCell ref="BX26:CG26"/>
    <mergeCell ref="BG17:BI18"/>
    <mergeCell ref="AD26:AP26"/>
    <mergeCell ref="AC17:AE18"/>
    <mergeCell ref="AU21:AW22"/>
    <mergeCell ref="BV19:BX20"/>
    <mergeCell ref="BY19:CA20"/>
    <mergeCell ref="CB19:CG20"/>
    <mergeCell ref="A21:P22"/>
    <mergeCell ref="Q21:S22"/>
    <mergeCell ref="T21:V22"/>
    <mergeCell ref="W21:Y22"/>
    <mergeCell ref="Z21:AB22"/>
    <mergeCell ref="AC21:AE22"/>
    <mergeCell ref="BD19:BF20"/>
    <mergeCell ref="BG19:BI20"/>
    <mergeCell ref="BJ19:BL20"/>
    <mergeCell ref="BM19:BO20"/>
    <mergeCell ref="BP19:BR20"/>
    <mergeCell ref="BS19:BU20"/>
    <mergeCell ref="AL19:AN20"/>
    <mergeCell ref="AO19:AQ20"/>
    <mergeCell ref="AR19:AT20"/>
    <mergeCell ref="AU19:AW20"/>
    <mergeCell ref="BY11:CA12"/>
    <mergeCell ref="CB11:CG12"/>
    <mergeCell ref="BJ11:BL12"/>
    <mergeCell ref="BM11:BO12"/>
    <mergeCell ref="AX7:AZ8"/>
    <mergeCell ref="BA7:BC8"/>
    <mergeCell ref="BD7:BF8"/>
    <mergeCell ref="BD9:BF10"/>
    <mergeCell ref="BG9:BI10"/>
    <mergeCell ref="BG11:BI12"/>
    <mergeCell ref="BV9:BX10"/>
    <mergeCell ref="BY9:CA10"/>
    <mergeCell ref="CB9:CG10"/>
    <mergeCell ref="BJ9:BL10"/>
    <mergeCell ref="BM9:BO10"/>
    <mergeCell ref="BP9:BR10"/>
    <mergeCell ref="BS9:BU10"/>
    <mergeCell ref="BG7:BI8"/>
    <mergeCell ref="CB5:CG6"/>
    <mergeCell ref="BJ5:BL6"/>
    <mergeCell ref="BM5:BO6"/>
    <mergeCell ref="CB7:CG8"/>
    <mergeCell ref="BJ7:BL8"/>
    <mergeCell ref="BM7:BO8"/>
    <mergeCell ref="BP7:BR8"/>
    <mergeCell ref="BS7:BU8"/>
    <mergeCell ref="BV7:BX8"/>
    <mergeCell ref="BY7:CA8"/>
    <mergeCell ref="BP5:BR6"/>
    <mergeCell ref="BS5:BU6"/>
    <mergeCell ref="BV5:BX6"/>
    <mergeCell ref="BY5:CA6"/>
    <mergeCell ref="A1:CG1"/>
    <mergeCell ref="A2:D2"/>
    <mergeCell ref="BS4:BU4"/>
    <mergeCell ref="BV4:BX4"/>
    <mergeCell ref="BY4:CA4"/>
    <mergeCell ref="BG4:BI4"/>
    <mergeCell ref="BJ4:BL4"/>
    <mergeCell ref="BM4:BO4"/>
    <mergeCell ref="BP4:BR4"/>
    <mergeCell ref="A3:P4"/>
    <mergeCell ref="Q3:CA3"/>
    <mergeCell ref="AX4:AZ4"/>
    <mergeCell ref="BA4:BC4"/>
    <mergeCell ref="BD4:BF4"/>
    <mergeCell ref="AI4:AK4"/>
    <mergeCell ref="AL4:AN4"/>
    <mergeCell ref="AO4:AQ4"/>
    <mergeCell ref="AR4:AT4"/>
    <mergeCell ref="AF4:AH4"/>
    <mergeCell ref="E2:CG2"/>
    <mergeCell ref="CB3:CG4"/>
    <mergeCell ref="W7:Y8"/>
    <mergeCell ref="AX5:AZ6"/>
    <mergeCell ref="BA5:BC6"/>
    <mergeCell ref="BD5:BF6"/>
    <mergeCell ref="Z7:AB8"/>
    <mergeCell ref="AC7:AE8"/>
    <mergeCell ref="A5:P6"/>
    <mergeCell ref="AF5:AH6"/>
    <mergeCell ref="AI5:AK6"/>
    <mergeCell ref="AL5:AN6"/>
    <mergeCell ref="AO5:AQ6"/>
    <mergeCell ref="AR5:AT6"/>
    <mergeCell ref="AU5:AW6"/>
    <mergeCell ref="AF7:AH8"/>
    <mergeCell ref="AI7:AK8"/>
    <mergeCell ref="AL7:AN8"/>
    <mergeCell ref="AO7:AQ8"/>
    <mergeCell ref="AR7:AT8"/>
    <mergeCell ref="AU7:AW8"/>
    <mergeCell ref="Q5:S6"/>
    <mergeCell ref="T5:V6"/>
    <mergeCell ref="AU9:AW10"/>
    <mergeCell ref="AX9:AZ10"/>
    <mergeCell ref="BA9:BC10"/>
    <mergeCell ref="A9:P10"/>
    <mergeCell ref="Q9:S10"/>
    <mergeCell ref="T9:V10"/>
    <mergeCell ref="W9:Y10"/>
    <mergeCell ref="Z9:AB10"/>
    <mergeCell ref="AC9:AE10"/>
    <mergeCell ref="AF9:AH10"/>
    <mergeCell ref="AI9:AK10"/>
    <mergeCell ref="A11:P12"/>
    <mergeCell ref="Q11:S12"/>
    <mergeCell ref="T11:V12"/>
    <mergeCell ref="W11:Y12"/>
    <mergeCell ref="Z11:AB12"/>
    <mergeCell ref="AC11:AE12"/>
    <mergeCell ref="AL9:AN10"/>
    <mergeCell ref="AO9:AQ10"/>
    <mergeCell ref="AR9:AT10"/>
    <mergeCell ref="Z13:AB14"/>
    <mergeCell ref="AC13:AE14"/>
    <mergeCell ref="AF13:AH14"/>
    <mergeCell ref="AI13:AK14"/>
    <mergeCell ref="AX11:AZ12"/>
    <mergeCell ref="BA11:BC12"/>
    <mergeCell ref="BD11:BF12"/>
    <mergeCell ref="BA13:BC14"/>
    <mergeCell ref="AF11:AH12"/>
    <mergeCell ref="AI11:AK12"/>
    <mergeCell ref="AL11:AN12"/>
    <mergeCell ref="AO11:AQ12"/>
    <mergeCell ref="AR11:AT12"/>
    <mergeCell ref="AU11:AW12"/>
    <mergeCell ref="BV13:BX14"/>
    <mergeCell ref="BY13:CA14"/>
    <mergeCell ref="CB13:CG14"/>
    <mergeCell ref="A15:P16"/>
    <mergeCell ref="Q15:S16"/>
    <mergeCell ref="T15:V16"/>
    <mergeCell ref="W15:Y16"/>
    <mergeCell ref="Z15:AB16"/>
    <mergeCell ref="AC15:AE16"/>
    <mergeCell ref="BD13:BF14"/>
    <mergeCell ref="BG13:BI14"/>
    <mergeCell ref="BJ13:BL14"/>
    <mergeCell ref="BM13:BO14"/>
    <mergeCell ref="BP13:BR14"/>
    <mergeCell ref="BS13:BU14"/>
    <mergeCell ref="AL13:AN14"/>
    <mergeCell ref="AO13:AQ14"/>
    <mergeCell ref="AR13:AT14"/>
    <mergeCell ref="AU13:AW14"/>
    <mergeCell ref="AX13:AZ14"/>
    <mergeCell ref="A13:P14"/>
    <mergeCell ref="Q13:S14"/>
    <mergeCell ref="T13:V14"/>
    <mergeCell ref="W13:Y14"/>
    <mergeCell ref="BS15:BU16"/>
    <mergeCell ref="A17:P18"/>
    <mergeCell ref="Q17:S18"/>
    <mergeCell ref="T17:V18"/>
    <mergeCell ref="W17:Y18"/>
    <mergeCell ref="AX15:AZ16"/>
    <mergeCell ref="BA15:BC16"/>
    <mergeCell ref="BD15:BF16"/>
    <mergeCell ref="BG15:BI16"/>
    <mergeCell ref="AF15:AH16"/>
    <mergeCell ref="AI15:AK16"/>
    <mergeCell ref="AL15:AN16"/>
    <mergeCell ref="AO15:AQ16"/>
    <mergeCell ref="AR15:AT16"/>
    <mergeCell ref="AU15:AW16"/>
    <mergeCell ref="AF17:AH18"/>
    <mergeCell ref="AI17:AK18"/>
    <mergeCell ref="AL17:AN18"/>
    <mergeCell ref="AO17:AQ18"/>
    <mergeCell ref="BA17:BC18"/>
    <mergeCell ref="BD17:BF18"/>
    <mergeCell ref="Z17:AB18"/>
    <mergeCell ref="BV15:BX16"/>
    <mergeCell ref="BY15:CA16"/>
    <mergeCell ref="CB15:CG16"/>
    <mergeCell ref="BJ15:BL16"/>
    <mergeCell ref="BM15:BO16"/>
    <mergeCell ref="CB17:CG18"/>
    <mergeCell ref="A19:P20"/>
    <mergeCell ref="Q19:S20"/>
    <mergeCell ref="T19:V20"/>
    <mergeCell ref="W19:Y20"/>
    <mergeCell ref="Z19:AB20"/>
    <mergeCell ref="AC19:AE20"/>
    <mergeCell ref="AF19:AH20"/>
    <mergeCell ref="AI19:AK20"/>
    <mergeCell ref="BJ17:BL18"/>
    <mergeCell ref="BM17:BO18"/>
    <mergeCell ref="BP17:BR18"/>
    <mergeCell ref="BS17:BU18"/>
    <mergeCell ref="BV17:BX18"/>
    <mergeCell ref="BY17:CA18"/>
    <mergeCell ref="AR17:AT18"/>
    <mergeCell ref="AU17:AW18"/>
    <mergeCell ref="AX17:AZ18"/>
    <mergeCell ref="BP15:BR16"/>
    <mergeCell ref="AX19:AZ20"/>
    <mergeCell ref="BA19:BC20"/>
    <mergeCell ref="BP21:BR22"/>
    <mergeCell ref="BS21:BU22"/>
    <mergeCell ref="W23:Y24"/>
    <mergeCell ref="BV21:BX22"/>
    <mergeCell ref="BY21:CA22"/>
    <mergeCell ref="CB21:CG22"/>
    <mergeCell ref="BJ21:BL22"/>
    <mergeCell ref="BM21:BO22"/>
    <mergeCell ref="CB23:CG24"/>
    <mergeCell ref="AX21:AZ22"/>
    <mergeCell ref="BA21:BC22"/>
    <mergeCell ref="BD21:BF22"/>
    <mergeCell ref="BG21:BI22"/>
    <mergeCell ref="AI23:AK24"/>
    <mergeCell ref="AF21:AH22"/>
    <mergeCell ref="AI21:AK22"/>
    <mergeCell ref="AL21:AN22"/>
    <mergeCell ref="AO21:AQ22"/>
    <mergeCell ref="AR21:AT22"/>
    <mergeCell ref="A32:BF32"/>
    <mergeCell ref="A25:H25"/>
    <mergeCell ref="I25:CA25"/>
    <mergeCell ref="CB25:CG25"/>
    <mergeCell ref="BJ23:BL24"/>
    <mergeCell ref="BM23:BO24"/>
    <mergeCell ref="BP23:BR24"/>
    <mergeCell ref="BS23:BU24"/>
    <mergeCell ref="BV23:BX24"/>
    <mergeCell ref="BY23:CA24"/>
    <mergeCell ref="AR23:AT24"/>
    <mergeCell ref="AU23:AW24"/>
    <mergeCell ref="AX23:AZ24"/>
    <mergeCell ref="BA23:BC24"/>
    <mergeCell ref="BD23:BF24"/>
    <mergeCell ref="BG23:BI24"/>
    <mergeCell ref="Z23:AB24"/>
    <mergeCell ref="AC23:AE24"/>
    <mergeCell ref="AF23:AH24"/>
    <mergeCell ref="A23:P24"/>
    <mergeCell ref="AL23:AN24"/>
    <mergeCell ref="AO23:AQ24"/>
    <mergeCell ref="Q23:S24"/>
    <mergeCell ref="T23:V24"/>
  </mergeCells>
  <printOptions horizontalCentered="1" verticalCentered="1"/>
  <pageMargins left="0" right="0" top="0" bottom="0" header="0" footer="0"/>
  <pageSetup paperSize="9" scale="78" orientation="landscape" horizontalDpi="4294967292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F039-FF2C-42C1-9519-3FAC33C0AE4E}">
  <dimension ref="A1:T37"/>
  <sheetViews>
    <sheetView workbookViewId="0">
      <selection activeCell="B3" sqref="B3"/>
    </sheetView>
  </sheetViews>
  <sheetFormatPr defaultRowHeight="12.75" x14ac:dyDescent="0.2"/>
  <cols>
    <col min="2" max="2" width="11.5703125" style="10" bestFit="1" customWidth="1"/>
    <col min="3" max="3" width="12.140625" style="10" bestFit="1" customWidth="1"/>
    <col min="4" max="4" width="10" style="10" bestFit="1" customWidth="1"/>
    <col min="5" max="5" width="11.5703125" style="10" bestFit="1" customWidth="1"/>
    <col min="6" max="6" width="10" style="10" bestFit="1" customWidth="1"/>
    <col min="7" max="9" width="9.140625" style="10"/>
    <col min="10" max="10" width="10" style="10" bestFit="1" customWidth="1"/>
    <col min="11" max="20" width="9.140625" style="10"/>
  </cols>
  <sheetData>
    <row r="1" spans="1:10" x14ac:dyDescent="0.2">
      <c r="B1" s="10" t="s">
        <v>24</v>
      </c>
      <c r="C1" s="10" t="s">
        <v>25</v>
      </c>
      <c r="D1" s="10" t="s">
        <v>29</v>
      </c>
      <c r="E1" s="10" t="s">
        <v>31</v>
      </c>
      <c r="F1" s="10" t="s">
        <v>24</v>
      </c>
      <c r="G1" s="10" t="s">
        <v>26</v>
      </c>
      <c r="H1" s="10" t="s">
        <v>26</v>
      </c>
      <c r="J1" s="10" t="s">
        <v>3</v>
      </c>
    </row>
    <row r="2" spans="1:10" x14ac:dyDescent="0.2">
      <c r="A2" s="9">
        <v>45961</v>
      </c>
      <c r="B2" s="10">
        <v>143.02000000000001</v>
      </c>
      <c r="C2" s="10">
        <v>6</v>
      </c>
      <c r="D2" s="10">
        <v>359.8</v>
      </c>
      <c r="J2" s="10">
        <f>SUM(B2:I2)</f>
        <v>508.82000000000005</v>
      </c>
    </row>
    <row r="3" spans="1:10" x14ac:dyDescent="0.2">
      <c r="A3" s="9">
        <v>45960</v>
      </c>
      <c r="B3" s="10">
        <v>273.39</v>
      </c>
      <c r="C3" s="10">
        <v>54</v>
      </c>
      <c r="E3" s="10">
        <v>9.64</v>
      </c>
      <c r="J3" s="10">
        <f t="shared" ref="J3:J27" si="0">SUM(B3:I3)</f>
        <v>337.03</v>
      </c>
    </row>
    <row r="4" spans="1:10" x14ac:dyDescent="0.2">
      <c r="A4" s="9">
        <v>45959</v>
      </c>
      <c r="J4" s="10">
        <f t="shared" si="0"/>
        <v>0</v>
      </c>
    </row>
    <row r="5" spans="1:10" x14ac:dyDescent="0.2">
      <c r="A5" s="9">
        <v>45958</v>
      </c>
      <c r="J5" s="10">
        <f t="shared" si="0"/>
        <v>0</v>
      </c>
    </row>
    <row r="6" spans="1:10" x14ac:dyDescent="0.2">
      <c r="A6" s="9">
        <v>45957</v>
      </c>
      <c r="B6" s="10">
        <v>168.24</v>
      </c>
      <c r="C6" s="10">
        <v>35</v>
      </c>
      <c r="J6" s="10">
        <f t="shared" si="0"/>
        <v>203.24</v>
      </c>
    </row>
    <row r="7" spans="1:10" x14ac:dyDescent="0.2">
      <c r="A7" s="9">
        <v>45956</v>
      </c>
      <c r="J7" s="10">
        <f t="shared" si="0"/>
        <v>0</v>
      </c>
    </row>
    <row r="8" spans="1:10" x14ac:dyDescent="0.2">
      <c r="A8" s="9">
        <v>45955</v>
      </c>
      <c r="E8" s="10">
        <v>70</v>
      </c>
      <c r="J8" s="10">
        <f t="shared" si="0"/>
        <v>70</v>
      </c>
    </row>
    <row r="9" spans="1:10" x14ac:dyDescent="0.2">
      <c r="A9" s="9">
        <v>45954</v>
      </c>
      <c r="B9" s="10">
        <v>257.11</v>
      </c>
      <c r="C9" s="10">
        <v>9</v>
      </c>
      <c r="D9" s="10">
        <v>350</v>
      </c>
      <c r="F9" s="10">
        <v>100</v>
      </c>
      <c r="J9" s="10">
        <f t="shared" si="0"/>
        <v>716.11</v>
      </c>
    </row>
    <row r="10" spans="1:10" x14ac:dyDescent="0.2">
      <c r="A10" s="9">
        <v>45953</v>
      </c>
      <c r="C10" s="10">
        <v>85.8</v>
      </c>
      <c r="G10" s="10">
        <v>36</v>
      </c>
      <c r="J10" s="10">
        <f t="shared" si="0"/>
        <v>121.8</v>
      </c>
    </row>
    <row r="11" spans="1:10" x14ac:dyDescent="0.2">
      <c r="A11" s="9">
        <v>45952</v>
      </c>
      <c r="J11" s="10">
        <f t="shared" si="0"/>
        <v>0</v>
      </c>
    </row>
    <row r="12" spans="1:10" x14ac:dyDescent="0.2">
      <c r="A12" s="9">
        <v>45951</v>
      </c>
      <c r="B12" s="10">
        <v>160.33000000000001</v>
      </c>
      <c r="G12" s="10">
        <v>32</v>
      </c>
      <c r="H12" s="10">
        <v>20</v>
      </c>
      <c r="J12" s="10">
        <f t="shared" si="0"/>
        <v>212.33</v>
      </c>
    </row>
    <row r="13" spans="1:10" x14ac:dyDescent="0.2">
      <c r="A13" s="9">
        <v>45950</v>
      </c>
      <c r="J13" s="10">
        <f t="shared" si="0"/>
        <v>0</v>
      </c>
    </row>
    <row r="14" spans="1:10" x14ac:dyDescent="0.2">
      <c r="A14" s="9">
        <v>45949</v>
      </c>
      <c r="J14" s="10">
        <f t="shared" si="0"/>
        <v>0</v>
      </c>
    </row>
    <row r="15" spans="1:10" x14ac:dyDescent="0.2">
      <c r="A15" s="9">
        <v>45948</v>
      </c>
      <c r="J15" s="10">
        <f t="shared" si="0"/>
        <v>0</v>
      </c>
    </row>
    <row r="16" spans="1:10" x14ac:dyDescent="0.2">
      <c r="A16" s="9">
        <v>45947</v>
      </c>
      <c r="J16" s="10">
        <f t="shared" si="0"/>
        <v>0</v>
      </c>
    </row>
    <row r="17" spans="1:10" x14ac:dyDescent="0.2">
      <c r="A17" s="9">
        <v>45946</v>
      </c>
      <c r="J17" s="10">
        <f t="shared" si="0"/>
        <v>0</v>
      </c>
    </row>
    <row r="18" spans="1:10" x14ac:dyDescent="0.2">
      <c r="A18" s="9">
        <v>45945</v>
      </c>
      <c r="B18" s="10">
        <v>229.84</v>
      </c>
      <c r="C18" s="10">
        <v>375.16</v>
      </c>
      <c r="H18" s="10">
        <v>20</v>
      </c>
      <c r="J18" s="10">
        <f t="shared" si="0"/>
        <v>625</v>
      </c>
    </row>
    <row r="19" spans="1:10" x14ac:dyDescent="0.2">
      <c r="A19" s="9">
        <v>45944</v>
      </c>
      <c r="H19" s="10">
        <v>32</v>
      </c>
      <c r="J19" s="10">
        <f t="shared" si="0"/>
        <v>32</v>
      </c>
    </row>
    <row r="20" spans="1:10" x14ac:dyDescent="0.2">
      <c r="A20" s="9">
        <v>45943</v>
      </c>
      <c r="B20" s="10">
        <v>248.83</v>
      </c>
      <c r="D20" s="10">
        <v>315</v>
      </c>
      <c r="J20" s="10">
        <f t="shared" si="0"/>
        <v>563.83000000000004</v>
      </c>
    </row>
    <row r="21" spans="1:10" x14ac:dyDescent="0.2">
      <c r="A21" s="9">
        <v>45942</v>
      </c>
      <c r="J21" s="10">
        <f t="shared" si="0"/>
        <v>0</v>
      </c>
    </row>
    <row r="22" spans="1:10" x14ac:dyDescent="0.2">
      <c r="A22" s="9">
        <v>45941</v>
      </c>
      <c r="J22" s="10">
        <f t="shared" si="0"/>
        <v>0</v>
      </c>
    </row>
    <row r="23" spans="1:10" x14ac:dyDescent="0.2">
      <c r="A23" s="9">
        <v>45940</v>
      </c>
      <c r="J23" s="10">
        <f t="shared" si="0"/>
        <v>0</v>
      </c>
    </row>
    <row r="24" spans="1:10" x14ac:dyDescent="0.2">
      <c r="A24" s="9">
        <v>45939</v>
      </c>
      <c r="C24" s="10">
        <v>43.5</v>
      </c>
      <c r="J24" s="10">
        <f t="shared" si="0"/>
        <v>43.5</v>
      </c>
    </row>
    <row r="25" spans="1:10" x14ac:dyDescent="0.2">
      <c r="A25" s="9">
        <v>45938</v>
      </c>
      <c r="J25" s="10">
        <f t="shared" si="0"/>
        <v>0</v>
      </c>
    </row>
    <row r="26" spans="1:10" x14ac:dyDescent="0.2">
      <c r="A26" s="9">
        <v>45937</v>
      </c>
      <c r="J26" s="10">
        <f t="shared" si="0"/>
        <v>0</v>
      </c>
    </row>
    <row r="27" spans="1:10" x14ac:dyDescent="0.2">
      <c r="A27" s="9">
        <v>45936</v>
      </c>
      <c r="J27" s="10">
        <f t="shared" si="0"/>
        <v>0</v>
      </c>
    </row>
    <row r="28" spans="1:10" x14ac:dyDescent="0.2">
      <c r="A28" s="9">
        <v>45935</v>
      </c>
    </row>
    <row r="29" spans="1:10" x14ac:dyDescent="0.2">
      <c r="A29" s="9">
        <v>45934</v>
      </c>
    </row>
    <row r="30" spans="1:10" x14ac:dyDescent="0.2">
      <c r="A30" s="9">
        <v>45933</v>
      </c>
    </row>
    <row r="31" spans="1:10" x14ac:dyDescent="0.2">
      <c r="A31" s="9">
        <v>45932</v>
      </c>
    </row>
    <row r="32" spans="1:10" x14ac:dyDescent="0.2">
      <c r="A32" s="9">
        <v>45931</v>
      </c>
      <c r="E32" s="10">
        <v>82.06</v>
      </c>
    </row>
    <row r="37" spans="1:2" x14ac:dyDescent="0.2">
      <c r="A37" t="s">
        <v>32</v>
      </c>
      <c r="B37" s="10">
        <f>SUM(B2:H32)</f>
        <v>3515.7200000000003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73E9-3057-41D9-B32A-778052F871C3}">
  <dimension ref="A1:Y32"/>
  <sheetViews>
    <sheetView workbookViewId="0">
      <selection activeCell="I39" sqref="I39"/>
    </sheetView>
  </sheetViews>
  <sheetFormatPr defaultRowHeight="12.75" x14ac:dyDescent="0.2"/>
  <cols>
    <col min="1" max="1" width="6.140625" bestFit="1" customWidth="1"/>
    <col min="2" max="2" width="11.5703125" bestFit="1" customWidth="1"/>
    <col min="3" max="5" width="11" bestFit="1" customWidth="1"/>
    <col min="6" max="7" width="14.28515625" bestFit="1" customWidth="1"/>
    <col min="8" max="8" width="10" style="11" bestFit="1" customWidth="1"/>
    <col min="9" max="14" width="9" bestFit="1" customWidth="1"/>
    <col min="15" max="15" width="8" bestFit="1" customWidth="1"/>
    <col min="16" max="16" width="7.42578125" bestFit="1" customWidth="1"/>
    <col min="17" max="18" width="10" bestFit="1" customWidth="1"/>
    <col min="25" max="25" width="11.5703125" bestFit="1" customWidth="1"/>
  </cols>
  <sheetData>
    <row r="1" spans="1:18" x14ac:dyDescent="0.2">
      <c r="A1" t="s">
        <v>7</v>
      </c>
      <c r="B1" t="s">
        <v>24</v>
      </c>
      <c r="C1" t="s">
        <v>25</v>
      </c>
      <c r="D1" t="s">
        <v>25</v>
      </c>
      <c r="E1" t="s">
        <v>25</v>
      </c>
      <c r="F1" t="s">
        <v>26</v>
      </c>
      <c r="G1" t="s">
        <v>26</v>
      </c>
      <c r="H1" s="11" t="s">
        <v>29</v>
      </c>
      <c r="I1" t="s">
        <v>27</v>
      </c>
      <c r="J1" t="s">
        <v>27</v>
      </c>
      <c r="K1" t="s">
        <v>27</v>
      </c>
      <c r="L1" t="s">
        <v>27</v>
      </c>
      <c r="M1" t="s">
        <v>27</v>
      </c>
      <c r="N1" t="s">
        <v>27</v>
      </c>
      <c r="O1" t="s">
        <v>27</v>
      </c>
      <c r="P1" t="s">
        <v>27</v>
      </c>
      <c r="Q1" t="s">
        <v>28</v>
      </c>
    </row>
    <row r="2" spans="1:18" x14ac:dyDescent="0.2">
      <c r="A2" s="9">
        <v>45901</v>
      </c>
      <c r="B2" s="10"/>
      <c r="C2" s="10"/>
      <c r="D2" s="10"/>
      <c r="E2" s="10"/>
      <c r="F2" s="10"/>
      <c r="G2" s="10"/>
      <c r="H2" s="12"/>
      <c r="I2" s="10"/>
      <c r="J2" s="10"/>
      <c r="K2" s="10"/>
      <c r="L2" s="10"/>
      <c r="M2" s="10"/>
      <c r="N2" s="10"/>
      <c r="O2" s="10"/>
      <c r="P2" s="10"/>
      <c r="Q2" s="10"/>
      <c r="R2" s="13">
        <f>SUM(B2:Q2)</f>
        <v>0</v>
      </c>
    </row>
    <row r="3" spans="1:18" x14ac:dyDescent="0.2">
      <c r="A3" s="9">
        <v>45902</v>
      </c>
      <c r="B3" s="17">
        <v>248.11</v>
      </c>
      <c r="C3" s="10"/>
      <c r="D3" s="10"/>
      <c r="E3" s="10"/>
      <c r="F3" s="10"/>
      <c r="G3" s="10"/>
      <c r="H3" s="12"/>
      <c r="I3" s="17">
        <v>7.1</v>
      </c>
      <c r="J3" s="17">
        <v>7.1</v>
      </c>
      <c r="K3" s="17">
        <v>3.25</v>
      </c>
      <c r="L3" s="10"/>
      <c r="M3" s="10"/>
      <c r="N3" s="10"/>
      <c r="O3" s="10"/>
      <c r="P3" s="10"/>
      <c r="Q3" s="10"/>
      <c r="R3" s="15">
        <f t="shared" ref="R3:R31" si="0">SUM(B3:Q3)</f>
        <v>265.56</v>
      </c>
    </row>
    <row r="4" spans="1:18" x14ac:dyDescent="0.2">
      <c r="A4" s="9">
        <v>45903</v>
      </c>
      <c r="B4" s="10"/>
      <c r="C4" s="10"/>
      <c r="D4" s="10"/>
      <c r="E4" s="10"/>
      <c r="F4" s="10"/>
      <c r="G4" s="10"/>
      <c r="H4" s="12"/>
      <c r="I4" s="17">
        <v>7.1</v>
      </c>
      <c r="J4" s="17">
        <v>3.25</v>
      </c>
      <c r="K4" s="17">
        <v>7.1</v>
      </c>
      <c r="L4" s="17">
        <v>3.25</v>
      </c>
      <c r="M4" s="10"/>
      <c r="N4" s="10"/>
      <c r="O4" s="10"/>
      <c r="P4" s="10"/>
      <c r="Q4" s="10"/>
      <c r="R4" s="15">
        <f t="shared" si="0"/>
        <v>20.7</v>
      </c>
    </row>
    <row r="5" spans="1:18" x14ac:dyDescent="0.2">
      <c r="A5" s="9">
        <v>45904</v>
      </c>
      <c r="B5" s="17">
        <v>264.12</v>
      </c>
      <c r="C5" s="17">
        <v>84</v>
      </c>
      <c r="D5" s="10"/>
      <c r="E5" s="10"/>
      <c r="F5" s="10"/>
      <c r="G5" s="10"/>
      <c r="H5" s="12"/>
      <c r="I5" s="17">
        <v>5.5</v>
      </c>
      <c r="K5" s="10"/>
      <c r="L5" s="10"/>
      <c r="M5" s="10"/>
      <c r="N5" s="10"/>
      <c r="O5" s="10"/>
      <c r="P5" s="10"/>
      <c r="Q5" s="10"/>
      <c r="R5" s="15">
        <f t="shared" si="0"/>
        <v>353.62</v>
      </c>
    </row>
    <row r="6" spans="1:18" x14ac:dyDescent="0.2">
      <c r="A6" s="9">
        <v>45905</v>
      </c>
      <c r="B6" s="10"/>
      <c r="C6" s="10"/>
      <c r="D6" s="10"/>
      <c r="E6" s="10"/>
      <c r="F6" s="10"/>
      <c r="G6" s="10"/>
      <c r="H6" s="18">
        <v>350</v>
      </c>
      <c r="I6" s="17">
        <v>5.5</v>
      </c>
      <c r="J6" s="17">
        <v>5.5</v>
      </c>
      <c r="K6" s="17">
        <v>5.5</v>
      </c>
      <c r="L6" s="17">
        <v>5.5</v>
      </c>
      <c r="M6" s="17">
        <v>5.5</v>
      </c>
      <c r="N6" s="10"/>
      <c r="O6" s="10"/>
      <c r="P6" s="10"/>
      <c r="Q6" s="10"/>
      <c r="R6" s="15">
        <f t="shared" si="0"/>
        <v>377.5</v>
      </c>
    </row>
    <row r="7" spans="1:18" x14ac:dyDescent="0.2">
      <c r="A7" s="9">
        <v>45906</v>
      </c>
      <c r="B7" s="10"/>
      <c r="C7" s="10"/>
      <c r="D7" s="10"/>
      <c r="E7" s="10"/>
      <c r="F7" s="10"/>
      <c r="G7" s="10"/>
      <c r="H7" s="12"/>
      <c r="I7" s="10"/>
      <c r="J7" s="10"/>
      <c r="K7" s="10"/>
      <c r="L7" s="10"/>
      <c r="M7" s="10"/>
      <c r="N7" s="10"/>
      <c r="O7" s="10"/>
      <c r="P7" s="10"/>
      <c r="Q7" s="10"/>
      <c r="R7" s="13">
        <f t="shared" si="0"/>
        <v>0</v>
      </c>
    </row>
    <row r="8" spans="1:18" x14ac:dyDescent="0.2">
      <c r="A8" s="9">
        <v>45907</v>
      </c>
      <c r="B8" s="10"/>
      <c r="C8" s="10"/>
      <c r="D8" s="10"/>
      <c r="E8" s="10"/>
      <c r="F8" s="10"/>
      <c r="G8" s="10"/>
      <c r="H8" s="12"/>
      <c r="I8" s="10"/>
      <c r="J8" s="10"/>
      <c r="K8" s="10"/>
      <c r="L8" s="10"/>
      <c r="M8" s="10"/>
      <c r="N8" s="10"/>
      <c r="O8" s="10"/>
      <c r="P8" s="10"/>
      <c r="Q8" s="10"/>
      <c r="R8" s="13">
        <f t="shared" si="0"/>
        <v>0</v>
      </c>
    </row>
    <row r="9" spans="1:18" x14ac:dyDescent="0.2">
      <c r="A9" s="9">
        <v>45908</v>
      </c>
      <c r="B9" s="10"/>
      <c r="C9" s="10"/>
      <c r="D9" s="10"/>
      <c r="E9" s="10"/>
      <c r="F9" s="10"/>
      <c r="G9" s="10"/>
      <c r="H9" s="12"/>
      <c r="I9" s="10"/>
      <c r="J9" s="10"/>
      <c r="K9" s="10"/>
      <c r="L9" s="10"/>
      <c r="M9" s="10"/>
      <c r="N9" s="10"/>
      <c r="O9" s="10"/>
      <c r="P9" s="10"/>
      <c r="Q9" s="10"/>
      <c r="R9" s="13">
        <f t="shared" si="0"/>
        <v>0</v>
      </c>
    </row>
    <row r="10" spans="1:18" x14ac:dyDescent="0.2">
      <c r="A10" s="9">
        <v>45909</v>
      </c>
      <c r="B10" s="10"/>
      <c r="C10" s="10"/>
      <c r="D10" s="10"/>
      <c r="E10" s="10"/>
      <c r="F10" s="10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7">
        <v>70</v>
      </c>
      <c r="R10" s="15">
        <f t="shared" si="0"/>
        <v>70</v>
      </c>
    </row>
    <row r="11" spans="1:18" x14ac:dyDescent="0.2">
      <c r="A11" s="9">
        <v>45910</v>
      </c>
      <c r="B11" s="10"/>
      <c r="C11" s="10"/>
      <c r="D11" s="10"/>
      <c r="E11" s="10"/>
      <c r="F11" s="10"/>
      <c r="G11" s="10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3">
        <f t="shared" si="0"/>
        <v>0</v>
      </c>
    </row>
    <row r="12" spans="1:18" x14ac:dyDescent="0.2">
      <c r="A12" s="9">
        <v>45911</v>
      </c>
      <c r="B12" s="17">
        <v>270.47000000000003</v>
      </c>
      <c r="C12" s="17">
        <v>35</v>
      </c>
      <c r="D12" s="10"/>
      <c r="E12" s="10"/>
      <c r="F12" s="10"/>
      <c r="G12" s="10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5">
        <f t="shared" si="0"/>
        <v>305.47000000000003</v>
      </c>
    </row>
    <row r="13" spans="1:18" x14ac:dyDescent="0.2">
      <c r="A13" s="9">
        <v>45912</v>
      </c>
      <c r="B13" s="17">
        <v>187.87</v>
      </c>
      <c r="C13" s="10"/>
      <c r="D13" s="10"/>
      <c r="E13" s="10"/>
      <c r="F13" s="10"/>
      <c r="G13" s="10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5">
        <f t="shared" si="0"/>
        <v>187.87</v>
      </c>
    </row>
    <row r="14" spans="1:18" x14ac:dyDescent="0.2">
      <c r="A14" s="9">
        <v>45913</v>
      </c>
      <c r="B14" s="10"/>
      <c r="C14" s="10"/>
      <c r="D14" s="10"/>
      <c r="E14" s="10"/>
      <c r="F14" s="10"/>
      <c r="G14" s="10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3">
        <f t="shared" si="0"/>
        <v>0</v>
      </c>
    </row>
    <row r="15" spans="1:18" x14ac:dyDescent="0.2">
      <c r="A15" s="9">
        <v>45914</v>
      </c>
      <c r="B15" s="17">
        <v>193.56</v>
      </c>
      <c r="C15" s="10"/>
      <c r="D15" s="10"/>
      <c r="E15" s="10"/>
      <c r="F15" s="10"/>
      <c r="G15" s="10"/>
      <c r="H15" s="12"/>
      <c r="I15" s="17">
        <v>2.4</v>
      </c>
      <c r="J15" s="17">
        <v>5.5</v>
      </c>
      <c r="K15" s="17">
        <v>2.4</v>
      </c>
      <c r="L15" s="17">
        <v>2.4</v>
      </c>
      <c r="M15" s="17">
        <v>2.4</v>
      </c>
      <c r="N15" s="10"/>
      <c r="O15" s="10"/>
      <c r="P15" s="10"/>
      <c r="Q15" s="10"/>
      <c r="R15" s="15">
        <f t="shared" si="0"/>
        <v>208.66000000000003</v>
      </c>
    </row>
    <row r="16" spans="1:18" x14ac:dyDescent="0.2">
      <c r="A16" s="9">
        <v>45915</v>
      </c>
      <c r="B16" s="17">
        <v>280.8</v>
      </c>
      <c r="C16" s="10"/>
      <c r="D16" s="10"/>
      <c r="E16" s="10"/>
      <c r="F16" s="10"/>
      <c r="G16" s="10"/>
      <c r="H16" s="12"/>
      <c r="I16" s="17">
        <v>5.7</v>
      </c>
      <c r="J16" s="10"/>
      <c r="K16" s="10"/>
      <c r="L16" s="10"/>
      <c r="M16" s="10"/>
      <c r="N16" s="10"/>
      <c r="O16" s="10"/>
      <c r="P16" s="10"/>
      <c r="Q16" s="10"/>
      <c r="R16" s="15">
        <f t="shared" si="0"/>
        <v>286.5</v>
      </c>
    </row>
    <row r="17" spans="1:25" x14ac:dyDescent="0.2">
      <c r="A17" s="9">
        <v>45916</v>
      </c>
      <c r="B17" s="10"/>
      <c r="C17" s="17">
        <v>126.28</v>
      </c>
      <c r="D17" s="17">
        <v>95.9</v>
      </c>
      <c r="E17" s="10"/>
      <c r="F17" s="17">
        <v>50</v>
      </c>
      <c r="G17" s="17">
        <v>30</v>
      </c>
      <c r="H17" s="12"/>
      <c r="I17" s="10"/>
      <c r="J17" s="10"/>
      <c r="K17" s="10"/>
      <c r="L17" s="10"/>
      <c r="M17" s="10"/>
      <c r="N17" s="10"/>
      <c r="O17" s="10"/>
      <c r="P17" s="10"/>
      <c r="Q17" s="17">
        <v>56</v>
      </c>
      <c r="R17" s="15">
        <f t="shared" si="0"/>
        <v>358.18</v>
      </c>
    </row>
    <row r="18" spans="1:25" x14ac:dyDescent="0.2">
      <c r="A18" s="9">
        <v>45917</v>
      </c>
      <c r="B18" s="10"/>
      <c r="C18" s="17">
        <v>48</v>
      </c>
      <c r="D18" s="17">
        <v>98.67</v>
      </c>
      <c r="E18" s="10"/>
      <c r="F18" s="17">
        <v>60</v>
      </c>
      <c r="G18" s="17">
        <v>30</v>
      </c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5">
        <f t="shared" si="0"/>
        <v>236.67000000000002</v>
      </c>
    </row>
    <row r="19" spans="1:25" x14ac:dyDescent="0.2">
      <c r="A19" s="9">
        <v>45918</v>
      </c>
      <c r="B19" s="10"/>
      <c r="C19" s="17">
        <v>33</v>
      </c>
      <c r="D19" s="17">
        <v>84.48</v>
      </c>
      <c r="E19" s="10"/>
      <c r="F19" s="10"/>
      <c r="G19" s="10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5">
        <f t="shared" si="0"/>
        <v>117.48</v>
      </c>
    </row>
    <row r="20" spans="1:25" x14ac:dyDescent="0.2">
      <c r="A20" s="9">
        <v>45919</v>
      </c>
      <c r="B20" s="10"/>
      <c r="C20" s="17">
        <v>65.67</v>
      </c>
      <c r="D20" s="17">
        <v>84.48</v>
      </c>
      <c r="E20" s="17">
        <v>35</v>
      </c>
      <c r="F20" s="17">
        <v>60</v>
      </c>
      <c r="G20" s="17">
        <v>50</v>
      </c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3">
        <f t="shared" si="0"/>
        <v>295.14999999999998</v>
      </c>
    </row>
    <row r="21" spans="1:25" x14ac:dyDescent="0.2">
      <c r="A21" s="9">
        <v>45920</v>
      </c>
      <c r="B21" s="10"/>
      <c r="C21" s="10"/>
      <c r="D21" s="10"/>
      <c r="E21" s="10"/>
      <c r="F21" s="10"/>
      <c r="G21" s="10"/>
      <c r="H21" s="12"/>
      <c r="I21" s="17">
        <v>5.7</v>
      </c>
      <c r="J21" s="10"/>
      <c r="K21" s="10"/>
      <c r="L21" s="10"/>
      <c r="M21" s="10"/>
      <c r="N21" s="10"/>
      <c r="O21" s="10"/>
      <c r="P21" s="10"/>
      <c r="Q21" s="10"/>
      <c r="R21" s="13">
        <f t="shared" si="0"/>
        <v>5.7</v>
      </c>
    </row>
    <row r="22" spans="1:25" x14ac:dyDescent="0.2">
      <c r="A22" s="9">
        <v>45921</v>
      </c>
      <c r="B22" s="17">
        <v>194.3</v>
      </c>
      <c r="C22" s="10"/>
      <c r="D22" s="10"/>
      <c r="E22" s="10"/>
      <c r="F22" s="10"/>
      <c r="G22" s="10"/>
      <c r="H22" s="12"/>
      <c r="I22" s="17">
        <v>5.5</v>
      </c>
      <c r="J22" s="17">
        <v>5.7</v>
      </c>
      <c r="K22" s="17">
        <v>2.4</v>
      </c>
      <c r="L22" s="17">
        <v>2.4</v>
      </c>
      <c r="M22" s="17">
        <v>2.4</v>
      </c>
      <c r="N22" s="17">
        <v>2.4</v>
      </c>
      <c r="O22" s="10"/>
      <c r="P22" s="10"/>
      <c r="Q22" s="10"/>
      <c r="R22" s="13">
        <f t="shared" si="0"/>
        <v>215.10000000000002</v>
      </c>
    </row>
    <row r="23" spans="1:25" x14ac:dyDescent="0.2">
      <c r="A23" s="9">
        <v>45922</v>
      </c>
      <c r="B23" s="17">
        <v>212.5</v>
      </c>
      <c r="C23" s="10"/>
      <c r="D23" s="10"/>
      <c r="E23" s="10"/>
      <c r="F23" s="10"/>
      <c r="G23" s="10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3">
        <f t="shared" si="0"/>
        <v>212.5</v>
      </c>
    </row>
    <row r="24" spans="1:25" x14ac:dyDescent="0.2">
      <c r="A24" s="9">
        <v>45923</v>
      </c>
      <c r="B24" s="17">
        <v>187.87</v>
      </c>
      <c r="C24" s="17">
        <v>55</v>
      </c>
      <c r="D24" s="17">
        <v>14</v>
      </c>
      <c r="E24" s="10"/>
      <c r="F24" s="10"/>
      <c r="G24" s="10"/>
      <c r="H24" s="12"/>
      <c r="I24" s="17">
        <v>5</v>
      </c>
      <c r="J24" s="17">
        <v>5</v>
      </c>
      <c r="K24" s="17">
        <v>5</v>
      </c>
      <c r="L24" s="17">
        <v>5</v>
      </c>
      <c r="M24" s="17">
        <v>6.3</v>
      </c>
      <c r="N24" s="17">
        <v>6.3</v>
      </c>
      <c r="O24" s="17">
        <v>5</v>
      </c>
      <c r="P24" s="10"/>
      <c r="Q24" s="17">
        <v>65</v>
      </c>
      <c r="R24" s="13">
        <f t="shared" si="0"/>
        <v>359.47</v>
      </c>
    </row>
    <row r="25" spans="1:25" x14ac:dyDescent="0.2">
      <c r="A25" s="9">
        <v>45924</v>
      </c>
      <c r="B25" s="17">
        <v>209.71</v>
      </c>
      <c r="C25" s="17">
        <v>9.98</v>
      </c>
      <c r="D25" s="10"/>
      <c r="E25" s="10"/>
      <c r="F25" s="10"/>
      <c r="G25" s="10"/>
      <c r="H25" s="18">
        <v>230</v>
      </c>
      <c r="I25" s="17">
        <v>6.3</v>
      </c>
      <c r="J25" s="17">
        <v>5</v>
      </c>
      <c r="K25" s="17">
        <v>5</v>
      </c>
      <c r="L25" s="17">
        <v>6.3</v>
      </c>
      <c r="M25" s="17">
        <v>5</v>
      </c>
      <c r="N25" s="17">
        <v>5</v>
      </c>
      <c r="O25" s="17">
        <v>5</v>
      </c>
      <c r="P25" s="10"/>
      <c r="Q25" s="10"/>
      <c r="R25" s="13">
        <f t="shared" si="0"/>
        <v>487.29</v>
      </c>
    </row>
    <row r="26" spans="1:25" x14ac:dyDescent="0.2">
      <c r="A26" s="9">
        <v>45925</v>
      </c>
      <c r="B26" s="10"/>
      <c r="C26" s="10"/>
      <c r="D26" s="10"/>
      <c r="E26" s="10"/>
      <c r="F26" s="10"/>
      <c r="G26" s="10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3">
        <f t="shared" si="0"/>
        <v>0</v>
      </c>
    </row>
    <row r="27" spans="1:25" x14ac:dyDescent="0.2">
      <c r="A27" s="9">
        <v>45926</v>
      </c>
      <c r="B27" s="10"/>
      <c r="C27" s="10"/>
      <c r="D27" s="10"/>
      <c r="E27" s="10"/>
      <c r="F27" s="10"/>
      <c r="G27" s="10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3">
        <f t="shared" si="0"/>
        <v>0</v>
      </c>
    </row>
    <row r="28" spans="1:25" x14ac:dyDescent="0.2">
      <c r="A28" s="9">
        <v>45927</v>
      </c>
      <c r="B28" s="10"/>
      <c r="C28" s="10"/>
      <c r="D28" s="10"/>
      <c r="E28" s="10"/>
      <c r="F28" s="10"/>
      <c r="G28" s="10"/>
      <c r="H28" s="12"/>
      <c r="I28" s="10"/>
      <c r="J28" s="10"/>
      <c r="K28" s="10"/>
      <c r="L28" s="10"/>
      <c r="M28" s="10"/>
      <c r="N28" s="10"/>
      <c r="O28" s="10"/>
      <c r="P28" s="10"/>
      <c r="Q28" s="10"/>
      <c r="R28" s="13">
        <f t="shared" si="0"/>
        <v>0</v>
      </c>
    </row>
    <row r="29" spans="1:25" x14ac:dyDescent="0.2">
      <c r="A29" s="9">
        <v>45928</v>
      </c>
      <c r="B29" s="10"/>
      <c r="C29" s="10"/>
      <c r="D29" s="10"/>
      <c r="E29" s="10"/>
      <c r="F29" s="10"/>
      <c r="G29" s="10"/>
      <c r="H29" s="12"/>
      <c r="I29" s="10"/>
      <c r="J29" s="10"/>
      <c r="K29" s="10"/>
      <c r="L29" s="10"/>
      <c r="M29" s="10"/>
      <c r="N29" s="10"/>
      <c r="O29" s="10"/>
      <c r="P29" s="10"/>
      <c r="Q29" s="10"/>
      <c r="R29" s="13">
        <f t="shared" si="0"/>
        <v>0</v>
      </c>
    </row>
    <row r="30" spans="1:25" x14ac:dyDescent="0.2">
      <c r="A30" s="9">
        <v>45929</v>
      </c>
      <c r="B30" s="10">
        <v>268.39</v>
      </c>
      <c r="C30" s="10"/>
      <c r="D30" s="10"/>
      <c r="E30" s="10"/>
      <c r="F30" s="10">
        <v>20</v>
      </c>
      <c r="G30" s="10"/>
      <c r="H30" s="12"/>
      <c r="I30" s="10"/>
      <c r="J30" s="10"/>
      <c r="K30" s="10"/>
      <c r="L30" s="10"/>
      <c r="M30" s="10"/>
      <c r="N30" s="10"/>
      <c r="O30" s="10"/>
      <c r="P30" s="10"/>
      <c r="Q30" s="10">
        <v>60</v>
      </c>
      <c r="R30" s="13">
        <f t="shared" si="0"/>
        <v>348.39</v>
      </c>
    </row>
    <row r="31" spans="1:25" x14ac:dyDescent="0.2">
      <c r="A31" s="9">
        <v>45930</v>
      </c>
      <c r="R31" s="13">
        <f t="shared" si="0"/>
        <v>0</v>
      </c>
    </row>
    <row r="32" spans="1:25" x14ac:dyDescent="0.2">
      <c r="B32" s="14">
        <f>SUM(B2:B31)</f>
        <v>2517.6999999999998</v>
      </c>
      <c r="C32" s="14">
        <f t="shared" ref="C32:Q32" si="1">SUM(C2:C31)</f>
        <v>456.93</v>
      </c>
      <c r="D32" s="14">
        <f t="shared" si="1"/>
        <v>377.53000000000003</v>
      </c>
      <c r="E32" s="14">
        <f t="shared" si="1"/>
        <v>35</v>
      </c>
      <c r="F32" s="14">
        <f t="shared" si="1"/>
        <v>190</v>
      </c>
      <c r="G32" s="14">
        <f t="shared" si="1"/>
        <v>110</v>
      </c>
      <c r="H32" s="14">
        <f t="shared" si="1"/>
        <v>580</v>
      </c>
      <c r="I32" s="14">
        <f t="shared" si="1"/>
        <v>55.8</v>
      </c>
      <c r="J32" s="14">
        <f t="shared" si="1"/>
        <v>37.049999999999997</v>
      </c>
      <c r="K32" s="14">
        <f t="shared" si="1"/>
        <v>30.65</v>
      </c>
      <c r="L32" s="14">
        <f t="shared" si="1"/>
        <v>24.85</v>
      </c>
      <c r="M32" s="14">
        <f t="shared" si="1"/>
        <v>21.6</v>
      </c>
      <c r="N32" s="14">
        <f t="shared" si="1"/>
        <v>13.7</v>
      </c>
      <c r="O32" s="14">
        <f t="shared" si="1"/>
        <v>10</v>
      </c>
      <c r="P32" s="14">
        <f t="shared" si="1"/>
        <v>0</v>
      </c>
      <c r="Q32" s="14">
        <f t="shared" si="1"/>
        <v>251</v>
      </c>
      <c r="X32" s="16" t="s">
        <v>3</v>
      </c>
      <c r="Y32" s="14">
        <f>SUM(B32:Q32)</f>
        <v>4711.8100000000004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REEMBOLSO</vt:lpstr>
      <vt:lpstr>Planilha2</vt:lpstr>
      <vt:lpstr>Planilha1</vt:lpstr>
      <vt:lpstr>REEMBOLSO!Area_de_impressao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Fabio Gnoatto</cp:lastModifiedBy>
  <cp:lastPrinted>2025-10-06T20:26:43Z</cp:lastPrinted>
  <dcterms:created xsi:type="dcterms:W3CDTF">2002-03-10T14:31:57Z</dcterms:created>
  <dcterms:modified xsi:type="dcterms:W3CDTF">2025-11-06T20:13:35Z</dcterms:modified>
</cp:coreProperties>
</file>